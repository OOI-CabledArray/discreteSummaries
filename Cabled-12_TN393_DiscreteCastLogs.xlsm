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rsn/Desktop/FileCabinet/Cruises/Cabled-12_TN393/"/>
    </mc:Choice>
  </mc:AlternateContent>
  <xr:revisionPtr revIDLastSave="0" documentId="13_ncr:1_{324AD747-CE2E-C749-BDD7-4C561EA83951}" xr6:coauthVersionLast="47" xr6:coauthVersionMax="47" xr10:uidLastSave="{00000000-0000-0000-0000-000000000000}"/>
  <bookViews>
    <workbookView xWindow="280" yWindow="640" windowWidth="38120" windowHeight="20160" activeTab="4" xr2:uid="{00000000-000D-0000-FFFF-FFFF00000000}"/>
  </bookViews>
  <sheets>
    <sheet name="README" sheetId="23" r:id="rId1"/>
    <sheet name="CastList" sheetId="8" r:id="rId2"/>
    <sheet name="SampleList" sheetId="7" r:id="rId3"/>
    <sheet name="CastLog_ROV" sheetId="21" r:id="rId4"/>
    <sheet name="OxygenLog_all" sheetId="18" r:id="rId5"/>
    <sheet name="ChloroLog_all" sheetId="16" r:id="rId6"/>
    <sheet name="CTDflags" sheetId="20" r:id="rId7"/>
    <sheet name="CTDflags_ROV" sheetId="22" r:id="rId8"/>
    <sheet name="++OxygenParameters++" sheetId="11" r:id="rId9"/>
    <sheet name="_Flags_" sheetId="9" r:id="rId10"/>
    <sheet name="_NiskinBottles_" sheetId="10" r:id="rId11"/>
    <sheet name="  _Stations_  " sheetId="12" r:id="rId12"/>
    <sheet name="_TargetAssets_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0" i="18" l="1" a="1"/>
  <c r="A10" i="18" s="1"/>
  <c r="E10" i="16" a="1"/>
  <c r="E10" i="16" s="1"/>
  <c r="B42" i="16" l="1"/>
  <c r="B18" i="16"/>
  <c r="C39" i="16"/>
  <c r="A24" i="16"/>
  <c r="C34" i="16"/>
  <c r="B24" i="16"/>
  <c r="A35" i="16"/>
  <c r="C16" i="16"/>
  <c r="A30" i="16"/>
  <c r="C11" i="16"/>
  <c r="A17" i="16"/>
  <c r="B22" i="16"/>
  <c r="A25" i="16"/>
  <c r="C27" i="16"/>
  <c r="B30" i="16"/>
  <c r="A33" i="16"/>
  <c r="C35" i="16"/>
  <c r="B38" i="16"/>
  <c r="A41" i="16"/>
  <c r="C43" i="16"/>
  <c r="C23" i="16"/>
  <c r="C31" i="16"/>
  <c r="A16" i="16"/>
  <c r="C26" i="16"/>
  <c r="A40" i="16"/>
  <c r="A11" i="16"/>
  <c r="A19" i="16"/>
  <c r="C29" i="16"/>
  <c r="B40" i="16"/>
  <c r="A14" i="16"/>
  <c r="B27" i="16"/>
  <c r="A38" i="16"/>
  <c r="B43" i="16"/>
  <c r="B14" i="16"/>
  <c r="C19" i="16"/>
  <c r="A12" i="16"/>
  <c r="C14" i="16"/>
  <c r="B17" i="16"/>
  <c r="A20" i="16"/>
  <c r="C22" i="16"/>
  <c r="B25" i="16"/>
  <c r="A28" i="16"/>
  <c r="C30" i="16"/>
  <c r="B33" i="16"/>
  <c r="A36" i="16"/>
  <c r="C38" i="16"/>
  <c r="B41" i="16"/>
  <c r="A44" i="16"/>
  <c r="C15" i="16"/>
  <c r="A21" i="16"/>
  <c r="A29" i="16"/>
  <c r="A37" i="16"/>
  <c r="B13" i="16"/>
  <c r="B21" i="16"/>
  <c r="A32" i="16"/>
  <c r="C42" i="16"/>
  <c r="B16" i="16"/>
  <c r="A27" i="16"/>
  <c r="C37" i="16"/>
  <c r="B11" i="16"/>
  <c r="A22" i="16"/>
  <c r="C32" i="16"/>
  <c r="B12" i="16"/>
  <c r="C17" i="16"/>
  <c r="B20" i="16"/>
  <c r="C25" i="16"/>
  <c r="B28" i="16"/>
  <c r="A31" i="16"/>
  <c r="C33" i="16"/>
  <c r="B36" i="16"/>
  <c r="A39" i="16"/>
  <c r="C41" i="16"/>
  <c r="B44" i="16"/>
  <c r="A13" i="16"/>
  <c r="B26" i="16"/>
  <c r="B34" i="16"/>
  <c r="C18" i="16"/>
  <c r="B29" i="16"/>
  <c r="B37" i="16"/>
  <c r="C13" i="16"/>
  <c r="C21" i="16"/>
  <c r="B32" i="16"/>
  <c r="A43" i="16"/>
  <c r="B19" i="16"/>
  <c r="C24" i="16"/>
  <c r="B35" i="16"/>
  <c r="C40" i="16"/>
  <c r="A15" i="16"/>
  <c r="A23" i="16"/>
  <c r="C12" i="16"/>
  <c r="B15" i="16"/>
  <c r="A18" i="16"/>
  <c r="C20" i="16"/>
  <c r="B23" i="16"/>
  <c r="A26" i="16"/>
  <c r="C28" i="16"/>
  <c r="B31" i="16"/>
  <c r="A34" i="16"/>
  <c r="C36" i="16"/>
  <c r="B39" i="16"/>
  <c r="A42" i="16"/>
  <c r="C44" i="16"/>
  <c r="A10" i="16"/>
  <c r="C10" i="16"/>
  <c r="B10" i="16"/>
  <c r="F64" i="18" l="1"/>
  <c r="K64" i="18" s="1"/>
  <c r="F63" i="18"/>
  <c r="K63" i="18" s="1"/>
  <c r="F62" i="18"/>
  <c r="K62" i="18" s="1"/>
  <c r="F61" i="18"/>
  <c r="K61" i="18" s="1"/>
  <c r="F60" i="18"/>
  <c r="K60" i="18" s="1"/>
  <c r="F59" i="18"/>
  <c r="K59" i="18" s="1"/>
  <c r="F58" i="18"/>
  <c r="K58" i="18" s="1"/>
  <c r="F57" i="18"/>
  <c r="K57" i="18" s="1"/>
  <c r="F56" i="18"/>
  <c r="K56" i="18" s="1"/>
  <c r="F55" i="18"/>
  <c r="K55" i="18" s="1"/>
  <c r="F54" i="18"/>
  <c r="K54" i="18" s="1"/>
  <c r="F53" i="18"/>
  <c r="K53" i="18" s="1"/>
  <c r="F52" i="18"/>
  <c r="K52" i="18" s="1"/>
  <c r="F51" i="18"/>
  <c r="K51" i="18" s="1"/>
  <c r="I64" i="18"/>
  <c r="J64" i="18"/>
  <c r="I63" i="18"/>
  <c r="J63" i="18"/>
  <c r="I62" i="18"/>
  <c r="J62" i="18"/>
  <c r="I61" i="18"/>
  <c r="J61" i="18"/>
  <c r="I60" i="18"/>
  <c r="J60" i="18"/>
  <c r="I59" i="18"/>
  <c r="J59" i="18"/>
  <c r="I58" i="18"/>
  <c r="J58" i="18"/>
  <c r="I57" i="18"/>
  <c r="J57" i="18"/>
  <c r="I56" i="18"/>
  <c r="J56" i="18"/>
  <c r="I55" i="18"/>
  <c r="J55" i="18"/>
  <c r="I54" i="18"/>
  <c r="I53" i="18"/>
  <c r="I52" i="18"/>
  <c r="J54" i="18"/>
  <c r="J53" i="18"/>
  <c r="J52" i="18"/>
  <c r="J51" i="18"/>
  <c r="W7" i="18"/>
  <c r="V7" i="18"/>
  <c r="I51" i="18"/>
  <c r="J50" i="18"/>
  <c r="J49" i="18"/>
  <c r="J48" i="18"/>
  <c r="J47" i="18"/>
  <c r="J46" i="18"/>
  <c r="J45" i="18"/>
  <c r="J44" i="18"/>
  <c r="I50" i="18"/>
  <c r="I49" i="18"/>
  <c r="I48" i="18"/>
  <c r="I47" i="18"/>
  <c r="I46" i="18"/>
  <c r="I45" i="18"/>
  <c r="I44" i="18"/>
  <c r="I43" i="18"/>
  <c r="J43" i="18"/>
  <c r="W6" i="18"/>
  <c r="V6" i="18"/>
  <c r="W5" i="18"/>
  <c r="W4" i="18"/>
  <c r="J11" i="18" s="1"/>
  <c r="V5" i="18"/>
  <c r="I32" i="18" s="1"/>
  <c r="V4" i="18"/>
  <c r="I12" i="18" s="1"/>
  <c r="J10" i="18"/>
  <c r="J17" i="18"/>
  <c r="J13" i="18"/>
  <c r="J12" i="18"/>
  <c r="J18" i="18"/>
  <c r="J32" i="18"/>
  <c r="J24" i="18"/>
  <c r="J29" i="18"/>
  <c r="J27" i="18"/>
  <c r="J23" i="18"/>
  <c r="J19" i="18"/>
  <c r="J31" i="18"/>
  <c r="J25" i="18"/>
  <c r="J20" i="18"/>
  <c r="J33" i="18"/>
  <c r="J30" i="18"/>
  <c r="J28" i="18"/>
  <c r="J22" i="18"/>
  <c r="J26" i="18"/>
  <c r="J21" i="18"/>
  <c r="J36" i="18"/>
  <c r="J40" i="18"/>
  <c r="J42" i="18"/>
  <c r="J41" i="18"/>
  <c r="J37" i="18"/>
  <c r="J34" i="18"/>
  <c r="J35" i="18"/>
  <c r="J38" i="18"/>
  <c r="J39" i="18"/>
  <c r="I26" i="18"/>
  <c r="I21" i="18"/>
  <c r="I30" i="18"/>
  <c r="I33" i="18"/>
  <c r="I23" i="18"/>
  <c r="I41" i="18"/>
  <c r="I40" i="18"/>
  <c r="I37" i="18"/>
  <c r="J14" i="18"/>
  <c r="I42" i="18"/>
  <c r="F48" i="18" l="1"/>
  <c r="K48" i="18" s="1"/>
  <c r="F47" i="18"/>
  <c r="K47" i="18" s="1"/>
  <c r="F46" i="18"/>
  <c r="K46" i="18" s="1"/>
  <c r="F11" i="18"/>
  <c r="F12" i="18"/>
  <c r="K12" i="18" s="1"/>
  <c r="F28" i="18"/>
  <c r="F32" i="18"/>
  <c r="K32" i="18" s="1"/>
  <c r="F44" i="18"/>
  <c r="K44" i="18" s="1"/>
  <c r="F21" i="18"/>
  <c r="K21" i="18" s="1"/>
  <c r="F16" i="18"/>
  <c r="F18" i="18"/>
  <c r="F30" i="18"/>
  <c r="K30" i="18" s="1"/>
  <c r="F43" i="18"/>
  <c r="K43" i="18" s="1"/>
  <c r="F13" i="18"/>
  <c r="F50" i="18"/>
  <c r="K50" i="18" s="1"/>
  <c r="F10" i="18"/>
  <c r="F27" i="18"/>
  <c r="F22" i="18"/>
  <c r="F25" i="18"/>
  <c r="I10" i="18"/>
  <c r="I36" i="18"/>
  <c r="I31" i="18"/>
  <c r="I14" i="18"/>
  <c r="I20" i="18"/>
  <c r="I38" i="18"/>
  <c r="I35" i="18"/>
  <c r="I19" i="18"/>
  <c r="I16" i="18"/>
  <c r="I13" i="18"/>
  <c r="I11" i="18"/>
  <c r="I17" i="18"/>
  <c r="I15" i="18"/>
  <c r="I18" i="18"/>
  <c r="I27" i="18"/>
  <c r="I25" i="18"/>
  <c r="I24" i="18"/>
  <c r="I29" i="18"/>
  <c r="I28" i="18"/>
  <c r="I22" i="18"/>
  <c r="I39" i="18"/>
  <c r="I34" i="18"/>
  <c r="F45" i="18"/>
  <c r="K45" i="18" s="1"/>
  <c r="F49" i="18"/>
  <c r="K49" i="18" s="1"/>
  <c r="J15" i="18"/>
  <c r="J16" i="18"/>
  <c r="F14" i="18"/>
  <c r="F15" i="18"/>
  <c r="F17" i="18"/>
  <c r="F20" i="18"/>
  <c r="F19" i="18"/>
  <c r="F23" i="18"/>
  <c r="K23" i="18" s="1"/>
  <c r="F31" i="18"/>
  <c r="F33" i="18"/>
  <c r="K33" i="18" s="1"/>
  <c r="F34" i="18"/>
  <c r="F36" i="18"/>
  <c r="K36" i="18" s="1"/>
  <c r="F38" i="18"/>
  <c r="F40" i="18"/>
  <c r="K40" i="18" s="1"/>
  <c r="F42" i="18"/>
  <c r="K42" i="18" s="1"/>
  <c r="F35" i="18"/>
  <c r="F37" i="18"/>
  <c r="K37" i="18" s="1"/>
  <c r="F39" i="18"/>
  <c r="F41" i="18"/>
  <c r="K41" i="18" s="1"/>
  <c r="F24" i="18"/>
  <c r="F29" i="18"/>
  <c r="F26" i="18"/>
  <c r="K26" i="18" s="1"/>
  <c r="K28" i="18" l="1"/>
  <c r="K16" i="18"/>
  <c r="K22" i="18"/>
  <c r="K13" i="18"/>
  <c r="K15" i="18"/>
  <c r="K34" i="18"/>
  <c r="K25" i="18"/>
  <c r="K29" i="18"/>
  <c r="K18" i="18"/>
  <c r="K27" i="18"/>
  <c r="K11" i="18"/>
  <c r="K10" i="18"/>
  <c r="K39" i="18"/>
  <c r="K20" i="18"/>
  <c r="K17" i="18"/>
  <c r="K14" i="18"/>
  <c r="K35" i="18"/>
  <c r="K24" i="18"/>
  <c r="K38" i="18"/>
  <c r="K31" i="18"/>
  <c r="K1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<sst xmlns="http://schemas.openxmlformats.org/spreadsheetml/2006/main" count="1151" uniqueCount="372">
  <si>
    <t>Notes</t>
  </si>
  <si>
    <t>Cruise:</t>
  </si>
  <si>
    <t>Pipette Volume:</t>
  </si>
  <si>
    <t>Standard Normality:</t>
  </si>
  <si>
    <t>General comments:</t>
  </si>
  <si>
    <t>Cast #</t>
  </si>
  <si>
    <t>Depth (m)</t>
  </si>
  <si>
    <t>Niskin #</t>
  </si>
  <si>
    <t>Oxygen Analysis Log</t>
  </si>
  <si>
    <t>Volume Filtered</t>
  </si>
  <si>
    <t>Chlorophyll Vial</t>
  </si>
  <si>
    <t>Sample Bottle #</t>
  </si>
  <si>
    <t>Chlorophyll Filtration Log</t>
  </si>
  <si>
    <t>Acetone Volume</t>
  </si>
  <si>
    <t>Cast</t>
  </si>
  <si>
    <t>Cruise</t>
  </si>
  <si>
    <t>Station</t>
  </si>
  <si>
    <t>Target Asset</t>
  </si>
  <si>
    <t>Cast Flag</t>
  </si>
  <si>
    <t>Niskin Flag</t>
  </si>
  <si>
    <t>RS03AXPD</t>
  </si>
  <si>
    <t>Notes/Other</t>
  </si>
  <si>
    <t>Delayed start to data collection</t>
  </si>
  <si>
    <t>Acceptable; normal cast according to SOP</t>
  </si>
  <si>
    <t>Non-standard winch speed</t>
  </si>
  <si>
    <t>Non-standard surface soak time</t>
  </si>
  <si>
    <t>Non-standard bottle soak time before Niskin trip</t>
  </si>
  <si>
    <t>Sensor issues but cast completed and data collected</t>
  </si>
  <si>
    <t>Cable issues but cast completed and data collected</t>
  </si>
  <si>
    <t>Winch issues but cast completed and data collected</t>
  </si>
  <si>
    <t>Premature cast end with data and/or data loss</t>
  </si>
  <si>
    <t>Significant ship heave</t>
  </si>
  <si>
    <t>Station position not adequately maintained during cast</t>
  </si>
  <si>
    <t>Tow-yo, Yo-yo cast</t>
  </si>
  <si>
    <t>ROV bottle sample</t>
  </si>
  <si>
    <t>Unassigned</t>
  </si>
  <si>
    <t>Data cast only, no Niskins triggered</t>
  </si>
  <si>
    <t>Acceptable; file processed according to SOP</t>
  </si>
  <si>
    <t>File processed using modified parameters</t>
  </si>
  <si>
    <t>File processed using alternate XMLCON</t>
  </si>
  <si>
    <t>Missing scans as indicated by modulo error counts</t>
  </si>
  <si>
    <t>Missing metadata</t>
  </si>
  <si>
    <t>Not calibrated</t>
  </si>
  <si>
    <t>Acceptable measurement</t>
  </si>
  <si>
    <t>Questionable measurement</t>
  </si>
  <si>
    <t>Bad measurement</t>
  </si>
  <si>
    <t>Not reported</t>
  </si>
  <si>
    <t>Calibration coefficients &gt; 1 year old</t>
  </si>
  <si>
    <t>Corresponding discrete sample</t>
  </si>
  <si>
    <t>Bottle information unavailable</t>
  </si>
  <si>
    <t>No problems noted</t>
  </si>
  <si>
    <t>Leaking</t>
  </si>
  <si>
    <t>Ran out of water during sampling</t>
  </si>
  <si>
    <t>Vent open</t>
  </si>
  <si>
    <t>Misfire at wrong depth</t>
  </si>
  <si>
    <t>Unknown problem</t>
  </si>
  <si>
    <t>Sample not drawn for this measurement from this bottle</t>
  </si>
  <si>
    <t>Acceptable; sample processed according to SOP</t>
  </si>
  <si>
    <t>Sample collected out of order</t>
  </si>
  <si>
    <t>Sample processed using alternative method; see notes</t>
  </si>
  <si>
    <t>Duplicate analysis on same sample</t>
  </si>
  <si>
    <t>Single sample</t>
  </si>
  <si>
    <t>Duplicate analysis from same Niskin</t>
  </si>
  <si>
    <t>Triplicate analysis from same Niskin</t>
  </si>
  <si>
    <t>Niskins</t>
  </si>
  <si>
    <t>O2_BottleNumber</t>
  </si>
  <si>
    <t>O2_BottleVolume</t>
  </si>
  <si>
    <t>Bottom Depth at Start Position [m]</t>
  </si>
  <si>
    <t>CTD File</t>
  </si>
  <si>
    <t>CTD File Flag</t>
  </si>
  <si>
    <t>Niskin/Bottle Position</t>
  </si>
  <si>
    <t>Axial Base Shallow Profiler</t>
  </si>
  <si>
    <t>Axial Base Deep Profiler</t>
  </si>
  <si>
    <t>Axial Base Junction Box LJ03A</t>
  </si>
  <si>
    <t>Oregon Offshore Deep Profiler</t>
  </si>
  <si>
    <t>Oregon Offshore Shallow Profiler</t>
  </si>
  <si>
    <t>Slope Base Shallow Profiler</t>
  </si>
  <si>
    <t>Slope Base Deep Profiler</t>
  </si>
  <si>
    <t>Southern Hydrate Ridge</t>
  </si>
  <si>
    <t>CE02SHBP</t>
  </si>
  <si>
    <t>CE04OSBP</t>
  </si>
  <si>
    <t>CE04OSPD</t>
  </si>
  <si>
    <t>CE04OSPS</t>
  </si>
  <si>
    <t>RS01SBPD</t>
  </si>
  <si>
    <t>RS01SBPS</t>
  </si>
  <si>
    <t>RS01SLBS</t>
  </si>
  <si>
    <t>RS01SUM2</t>
  </si>
  <si>
    <t>RS03AXBS</t>
  </si>
  <si>
    <t>RS03AXPS</t>
  </si>
  <si>
    <t>Target Depth</t>
  </si>
  <si>
    <t>Pipette Volumes</t>
  </si>
  <si>
    <t>Normalities</t>
  </si>
  <si>
    <t>bitPosition</t>
  </si>
  <si>
    <t>castFlags</t>
  </si>
  <si>
    <t>CTDFileFlags</t>
  </si>
  <si>
    <t>CTDParameterFlags</t>
  </si>
  <si>
    <t>niskinFlags</t>
  </si>
  <si>
    <t>discreteSampleFlags</t>
  </si>
  <si>
    <t>discreteReplicateFlags</t>
  </si>
  <si>
    <t>Sample for this measurement was drawn from water bottle but analysis not received</t>
  </si>
  <si>
    <t>Forward</t>
  </si>
  <si>
    <t>Aft</t>
  </si>
  <si>
    <t>Port</t>
  </si>
  <si>
    <t>Starboard</t>
  </si>
  <si>
    <t>Discrete Oxygen Flag</t>
  </si>
  <si>
    <t>Discrete Oxygen Replicate Flag</t>
  </si>
  <si>
    <t>Discrete Fluorescence Flag</t>
  </si>
  <si>
    <t>Discrete Fluorescence Replicate Flag</t>
  </si>
  <si>
    <t>Discrete Nutrients Flag</t>
  </si>
  <si>
    <t>Discrete Nutrients Replicate Flag</t>
  </si>
  <si>
    <t>Discrete Salinity Flag</t>
  </si>
  <si>
    <t>Discrete Salinity Replicate Flag</t>
  </si>
  <si>
    <t>Discrete DIC Flag</t>
  </si>
  <si>
    <t>Discrete DIC Replicate Flag</t>
  </si>
  <si>
    <t>Oxygen Bottle Number</t>
  </si>
  <si>
    <t>Chlorophyll Bottle Number</t>
  </si>
  <si>
    <t>Salinity Bottle Number</t>
  </si>
  <si>
    <t>Nutrient Bottle Number</t>
  </si>
  <si>
    <t>DIC Bottle Number</t>
  </si>
  <si>
    <t>Bottle Volume</t>
  </si>
  <si>
    <t>Buret Reading Volume</t>
  </si>
  <si>
    <t>Standard Run</t>
  </si>
  <si>
    <t xml:space="preserve">Standard Run </t>
  </si>
  <si>
    <t>STD #1</t>
  </si>
  <si>
    <t>STD #2</t>
  </si>
  <si>
    <t>STD #3</t>
  </si>
  <si>
    <t>STD #4</t>
  </si>
  <si>
    <t>Blank #1 A</t>
  </si>
  <si>
    <t>Blank #1 B</t>
  </si>
  <si>
    <t>Blank #2 A</t>
  </si>
  <si>
    <t>Blank #2 B</t>
  </si>
  <si>
    <t>Standard</t>
  </si>
  <si>
    <t>Correction Factor</t>
  </si>
  <si>
    <t>Average Standard</t>
  </si>
  <si>
    <t>Aft Port</t>
  </si>
  <si>
    <t>Aft Starboard</t>
  </si>
  <si>
    <t>Forward Port</t>
  </si>
  <si>
    <t>Forward Starboard</t>
  </si>
  <si>
    <t>THSPHA301</t>
  </si>
  <si>
    <t>PI_REQUEST</t>
  </si>
  <si>
    <t>CTD Pressure Flag</t>
  </si>
  <si>
    <t>CTD Temperature 1 Flag</t>
  </si>
  <si>
    <t>CTD Temperature 2 Flag</t>
  </si>
  <si>
    <t>CTD Conductivity 1 Flag</t>
  </si>
  <si>
    <t>CTD Conductivity 2 Flag</t>
  </si>
  <si>
    <t>CTD Oxygen Flag</t>
  </si>
  <si>
    <t>CTD Fluorescence Flag</t>
  </si>
  <si>
    <t>CTD Transmissometer Flag</t>
  </si>
  <si>
    <t>CTD pH Flag</t>
  </si>
  <si>
    <t>Parameter</t>
  </si>
  <si>
    <t>Parameter Flag</t>
  </si>
  <si>
    <t>CE02SHSM</t>
  </si>
  <si>
    <t>Oxygen Concentration (mL/L)</t>
  </si>
  <si>
    <t>Majors</t>
  </si>
  <si>
    <t>Source</t>
  </si>
  <si>
    <t>Depth</t>
  </si>
  <si>
    <t>eventNotes</t>
  </si>
  <si>
    <t>Niskin</t>
  </si>
  <si>
    <t>CTD Bottle Closure Time [UTC]</t>
  </si>
  <si>
    <t>Dive</t>
  </si>
  <si>
    <t>Start Latitude [degrees]</t>
  </si>
  <si>
    <t>Start Longitude [degrees]</t>
  </si>
  <si>
    <t>Start Time [UTC]</t>
  </si>
  <si>
    <t>Discrete Alkalinity Flag</t>
  </si>
  <si>
    <t>Discrete Alkalinity Replicate Flag</t>
  </si>
  <si>
    <t>Discrete pCO2 Flag</t>
  </si>
  <si>
    <t>Discrete pCO2 Replicate Flag</t>
  </si>
  <si>
    <t>Discrete pH Flag</t>
  </si>
  <si>
    <t>Discrete pH Replicate Flag</t>
  </si>
  <si>
    <t>Alkalinity Bottle Number</t>
  </si>
  <si>
    <t>pCO2 Bottle Number</t>
  </si>
  <si>
    <t>pH Bottle Number</t>
  </si>
  <si>
    <t>Axial Seamount International District 1</t>
  </si>
  <si>
    <t>Oregon Offshore Shallow Profiler - 500 m W</t>
  </si>
  <si>
    <t>Axial Base Shallow Profiler - 1000 m E</t>
  </si>
  <si>
    <t>Axial Base Shallow Profiler - 500 m E</t>
  </si>
  <si>
    <t>Axial Base Deep Profiler - 500 m SW</t>
  </si>
  <si>
    <t>Axial Base Shallow Profiler - 250 m E</t>
  </si>
  <si>
    <t>Axial Base Shallow Profiler - 250 m NW</t>
  </si>
  <si>
    <t>Axial Base Deep Profiler - 500 m N</t>
  </si>
  <si>
    <t>Axial Base Shallow Profiler - 250 m W</t>
  </si>
  <si>
    <t>Axial Base Shallow Profiler - 900 m SSW</t>
  </si>
  <si>
    <t>Axial Base Shallow Profiler - 200 m W</t>
  </si>
  <si>
    <t>Axial Base Shallow Profiler - 150 m W</t>
  </si>
  <si>
    <t>Oregon Offshore Shallow Profiler - 250 m W</t>
  </si>
  <si>
    <t>Oregon Offshore Shallow Profiler - 250 m E</t>
  </si>
  <si>
    <t>Oregon Offshore Deep Profiler - 250 m SW</t>
  </si>
  <si>
    <t>Oregon Offshore Deep Profiler - 500 m SW</t>
  </si>
  <si>
    <t>Oregon Offshore Shallow Profiler - 500 m E</t>
  </si>
  <si>
    <t>Oregon Offshore Shallow Profiler - 250 m NE</t>
  </si>
  <si>
    <t>Oregon Offshore Deep Profiler - 250 m E</t>
  </si>
  <si>
    <t>Oregon Offshore Deep Profiler - 200 m E</t>
  </si>
  <si>
    <t>Oregon Offshore Shallow Profiler - 600 m E</t>
  </si>
  <si>
    <t>Slope Base Shallow Profiler - 250 m W</t>
  </si>
  <si>
    <t>Slope Base Shallow Profiler - 1300 m NE</t>
  </si>
  <si>
    <t>Slope Base Shallow Profiler - 500 m W</t>
  </si>
  <si>
    <t>Slope Base Shallow Profiler - 100 m W</t>
  </si>
  <si>
    <t>Slope Base Deep Profiler - 750 m E</t>
  </si>
  <si>
    <t>Slope Base Junction Box LJ01A - 500 m S</t>
  </si>
  <si>
    <t>Slope Base Junction Box LJ01A - 250 m SW</t>
  </si>
  <si>
    <t>Slope Base Shallow Profiler - 250 m E</t>
  </si>
  <si>
    <t>Slope Base Junction Box LV01A - 100 m SE</t>
  </si>
  <si>
    <t>Slope Base Shallow Profiler - 200 m W</t>
  </si>
  <si>
    <t>Slope Base Deep Profiler - 500 m E</t>
  </si>
  <si>
    <t>Southern Hydrate Ridge - 90 m E of plume</t>
  </si>
  <si>
    <t>Axial Base Deep Profiler - 1000 m E</t>
  </si>
  <si>
    <t>Axial Base Shallow Profiler - 550 m E</t>
  </si>
  <si>
    <t>Oregon Offshore BEP</t>
  </si>
  <si>
    <t>Oregon Shelf BEP</t>
  </si>
  <si>
    <t>Oregon Shelf BEP - 20 m NW</t>
  </si>
  <si>
    <t>Oregon Shelf BEP - 70 m NE</t>
  </si>
  <si>
    <t>Southern Hydrate Ridge - 100 m N of Einstein's Grotto</t>
  </si>
  <si>
    <t>Blue Tabs:</t>
  </si>
  <si>
    <t>Flags, NiskinBottles, Stations, Target Assets</t>
  </si>
  <si>
    <t>Green Tabs:</t>
  </si>
  <si>
    <t>Locked to protect against inadvertant typos; to add to lists use the password "addnotchange"</t>
  </si>
  <si>
    <t>CastList, SampleList, CastLogROV, OxygenLog_all, ChloroLog_all</t>
  </si>
  <si>
    <t>Green is hand-typed, blue is filled in from predefined lists in the sheet:</t>
  </si>
  <si>
    <t>CastList: Verify against CTD Cast Logs</t>
  </si>
  <si>
    <t>SampleList: Verify against CTD Cast Logs</t>
  </si>
  <si>
    <t>OxygenLog_all: Verify against Oxygen titration log</t>
  </si>
  <si>
    <t>ChloroLog_all: Verify against Chlorophyll filtration log</t>
  </si>
  <si>
    <t>CastLog_ROV: Verify against ROV data logs listed in “source” and notes</t>
  </si>
  <si>
    <t>++OxygenParameters++: Verify against Oxygen bottle volumes, Oxygen titration log</t>
  </si>
  <si>
    <t>_Flags_: Check for typos, consistency</t>
  </si>
  <si>
    <t>_NiskinBottles_: Check for typos, consistency</t>
  </si>
  <si>
    <t>_Stations_: Check for typos, consistency</t>
  </si>
  <si>
    <t>_TargetAssets_: Check for typos, consistency</t>
  </si>
  <si>
    <t>Slope Base Junction Box LJ01A</t>
  </si>
  <si>
    <t>CTDPFB101</t>
  </si>
  <si>
    <t>DOSTAD101</t>
  </si>
  <si>
    <t>TN393</t>
  </si>
  <si>
    <t>Axial Base Shallow Profiler - 500 m NW</t>
  </si>
  <si>
    <t>CTD-001</t>
  </si>
  <si>
    <t>Cast 1- Niskin -13</t>
  </si>
  <si>
    <t>Cast 1- Niskin-15</t>
  </si>
  <si>
    <t>Cast 1- Niskin-17</t>
  </si>
  <si>
    <t>Cast 1- Niskin-19</t>
  </si>
  <si>
    <t>Cast 1- Niskin-21</t>
  </si>
  <si>
    <t>Cast 1- Niskin-23</t>
  </si>
  <si>
    <t>CTDPFB301</t>
  </si>
  <si>
    <t>DOSTAD301</t>
  </si>
  <si>
    <t>TN393_CTD-001</t>
  </si>
  <si>
    <t>stopper placed in bottle upside down</t>
  </si>
  <si>
    <t>RS03AXPS,RS03AXPD</t>
  </si>
  <si>
    <t>CTD-002</t>
  </si>
  <si>
    <t>TN393_CTD-002</t>
  </si>
  <si>
    <t>Acceptable; normal cast according to SOP,Notes/Other</t>
  </si>
  <si>
    <t>Cast Flag: "bottles triggered but did not close due to improper rigging"</t>
  </si>
  <si>
    <t>CTD-003</t>
  </si>
  <si>
    <t>TN393_CTD-003</t>
  </si>
  <si>
    <t>Cast 3- Niskin 13</t>
  </si>
  <si>
    <t>Niskin Flag: White caps needed to be taken off to get sample</t>
  </si>
  <si>
    <t>Cast 3- Niskin 19</t>
  </si>
  <si>
    <t>Cast 3- Niskin 17</t>
  </si>
  <si>
    <t>Cast 3- Niskin 21</t>
  </si>
  <si>
    <t>J2-1341</t>
  </si>
  <si>
    <t>CTDPFB301,DOSTAD301</t>
  </si>
  <si>
    <t>Leaking,Ran out of water during sampling</t>
  </si>
  <si>
    <t>RS01SBPS,RS01SBPD</t>
  </si>
  <si>
    <t>CTD-004</t>
  </si>
  <si>
    <t>TN393_CTD-004</t>
  </si>
  <si>
    <t>Notes/Other,Acceptable; file processed according to SOP</t>
  </si>
  <si>
    <t>Axial Base Shallow Profiler - 500 m SW</t>
  </si>
  <si>
    <t>CTD-005</t>
  </si>
  <si>
    <t>TN393_CTD-005</t>
  </si>
  <si>
    <t>Cast 5- Niskin 14</t>
  </si>
  <si>
    <t>Cast 5- Niskin 15</t>
  </si>
  <si>
    <t>Cast 5- Niskin 17</t>
  </si>
  <si>
    <t>Cast 5- Niskin 19</t>
  </si>
  <si>
    <t>Cast 5- Niskin 20</t>
  </si>
  <si>
    <t>Cast 5- Niskin 21</t>
  </si>
  <si>
    <t>Cast 5- Niskin 23</t>
  </si>
  <si>
    <t>2021-08-03T21:00:00.000Z</t>
  </si>
  <si>
    <t>2021-08-03T21:10:00.000Z</t>
  </si>
  <si>
    <t>2021-08-03T21:13:00.000Z</t>
  </si>
  <si>
    <t>2021-08-03T21:20:00.000Z</t>
  </si>
  <si>
    <t>2021-08-03T21:27:00.000Z</t>
  </si>
  <si>
    <t>forgot to add last bit to vacuum</t>
  </si>
  <si>
    <t>J2-1347</t>
  </si>
  <si>
    <t>2021-08-06T10:40:00.000Z</t>
  </si>
  <si>
    <t>Date/Time (local)</t>
  </si>
  <si>
    <t>2021-08-06T10:50:00.000Z</t>
  </si>
  <si>
    <t>2021-08-06T11:00:00.000Z</t>
  </si>
  <si>
    <t>2021-08-06T11:05:00.000Z</t>
  </si>
  <si>
    <t>2021-08-06T11:07:00.000Z</t>
  </si>
  <si>
    <t>2021-08-06T11:15:00.000Z</t>
  </si>
  <si>
    <t>2021-08-05T10:35:00.000Z</t>
  </si>
  <si>
    <t>2021-08-05T10:40:00.000Z</t>
  </si>
  <si>
    <t>2021-08-05T10:45:00.000Z</t>
  </si>
  <si>
    <t>2021-08-05T10:50:00.000Z</t>
  </si>
  <si>
    <t>J2-1369</t>
  </si>
  <si>
    <t>CTD-006</t>
  </si>
  <si>
    <t>TN393_CTD-006</t>
  </si>
  <si>
    <t>Cast 6- Niskin 1</t>
  </si>
  <si>
    <t>Cast 6- Niskin 3</t>
  </si>
  <si>
    <t>Cast 6- Niskin 5</t>
  </si>
  <si>
    <t>Cast 6- Niskin 13</t>
  </si>
  <si>
    <t>Cast 6- Niskin 15</t>
  </si>
  <si>
    <t>Cast 6- Niskin 18</t>
  </si>
  <si>
    <t>Cast 6- Niskin 19</t>
  </si>
  <si>
    <t>Cast 6- Niskin 21</t>
  </si>
  <si>
    <t>Cast 6- Niskin 23</t>
  </si>
  <si>
    <t>J2-1369 Aft Niskin</t>
  </si>
  <si>
    <t>J2-1369  Forward Niskin</t>
  </si>
  <si>
    <t>2021-08-26T10:30:00.000Z</t>
  </si>
  <si>
    <t>2021-08-26T10:37:00.000Z</t>
  </si>
  <si>
    <t>2021-08-26T10:40:00.000Z</t>
  </si>
  <si>
    <t>2021-08-26T10:43:00.000Z</t>
  </si>
  <si>
    <t>2021-08-26T10:47:00.000Z</t>
  </si>
  <si>
    <t>2021-08-26T10:51:00.000Z</t>
  </si>
  <si>
    <t>2021-08-26T11:05:00.000Z</t>
  </si>
  <si>
    <t>2021-08-26T11:10:00.000Z</t>
  </si>
  <si>
    <t>2021-08-26T11:20:00.000Z</t>
  </si>
  <si>
    <t>2021-08-23T21:24:00.000Z</t>
  </si>
  <si>
    <t>2021-08-23T22:15:00.000Z</t>
  </si>
  <si>
    <t>CTD-007</t>
  </si>
  <si>
    <t>CTD-7 Niskin 1</t>
  </si>
  <si>
    <t>CTD-7 Niskin 2</t>
  </si>
  <si>
    <t>CTD-7 Niskin 6</t>
  </si>
  <si>
    <t>Leaking,No problems noted</t>
  </si>
  <si>
    <t>CTD-7 Niskin 21</t>
  </si>
  <si>
    <t>CTD-7 Niskin 22</t>
  </si>
  <si>
    <t>RS03AXPD,RS03AXPS</t>
  </si>
  <si>
    <t>TN393_CTD-007</t>
  </si>
  <si>
    <t>Sample not clear, another 1 mL of H2SO4 added</t>
  </si>
  <si>
    <t>Cast Flag: "CTD hit the seafloor", CTD File Flag: "HPIES water collected, no verification samples"</t>
  </si>
  <si>
    <t>Slope Base Shallow Profiler - 500 m SW</t>
  </si>
  <si>
    <t>Sample: type Niskin sample_name Aft Niskin sample_description Deep Water Sample</t>
  </si>
  <si>
    <t>Sample: type Niskin sample_name Forward Niskin sample_description Deep Water Sample</t>
  </si>
  <si>
    <t>Sample: type Niskin sample_name forward niskin sample_description water sample</t>
  </si>
  <si>
    <t>Sample: type Niskin sample_name aft niskin sample_description some water</t>
  </si>
  <si>
    <t>Sample: Aft Niskin bottle triggered at 2892m type Niskin sample_name Deep Profiler Dock Sample sample_description Sample taken near DP dock</t>
  </si>
  <si>
    <t>Sample: type Niskin sample_description Forward Niskin 1500 m</t>
  </si>
  <si>
    <t>2021-08-04T06:24:00.000Z</t>
  </si>
  <si>
    <t>2021-08-04T06:25:00.000Z</t>
  </si>
  <si>
    <t>2021-08-06T18:08:00.000Z</t>
  </si>
  <si>
    <t>2021-08-06T18:09:00.000Z</t>
  </si>
  <si>
    <t>2021-08-23T04:25:00.000Z</t>
  </si>
  <si>
    <t>2021-08-23T05:16:00.000Z</t>
  </si>
  <si>
    <t>2021-08-04T06:19:00.000Z</t>
  </si>
  <si>
    <t>2021-08-04T06:20:00.000Z</t>
  </si>
  <si>
    <t>2021-08-06T18:03:00.000Z</t>
  </si>
  <si>
    <t>2021-08-06T18:04:00.000Z</t>
  </si>
  <si>
    <t>2021-08-23T04:20:00.000Z</t>
  </si>
  <si>
    <t>2021-08-23T05:11:00.000Z</t>
  </si>
  <si>
    <t>TN393_J2-1341_sealogExport.csv - line 1173</t>
  </si>
  <si>
    <t>TN393_J2-1341_sealogExport.csv - line 1177</t>
  </si>
  <si>
    <t>TN393_J2-1347_sealogExport.csv - line 810</t>
  </si>
  <si>
    <t>TN393_J2-1347_sealogExport.csv - line 816</t>
  </si>
  <si>
    <t>TN393_J2-1369_sealogExport.csv - lne 404</t>
  </si>
  <si>
    <t>TN393_J2-1369_sealogExport.csv - lne 509</t>
  </si>
  <si>
    <t>TN393_J2-1341_20210804_0600</t>
  </si>
  <si>
    <t>TN393_J2-1347_20210806_1800</t>
  </si>
  <si>
    <t>CTD File Flag: "Combined ROV CTD files 20210823_0400.CT2 and 20210823_0500.CT2 to cover timestamps of both Niskin triggers"</t>
  </si>
  <si>
    <t>TN393_J2-1369_20210823_combined</t>
  </si>
  <si>
    <t>Niskin Flag: Noted that Niskin was leaking after DIC collection</t>
  </si>
  <si>
    <t>Sample for this measurement was drawn from water bottle but analysis not received,Notes/Other</t>
  </si>
  <si>
    <t>DiscreteSampleFlag: Chlorophyll Stored in refrigerator after filtering</t>
  </si>
  <si>
    <t>DiscreteSampleFlag: Chlorophyll Stored in refrigerator after filtration</t>
  </si>
  <si>
    <t>CTD-7 Niskin 18a</t>
  </si>
  <si>
    <t>CTD-7 Niskin 18b</t>
  </si>
  <si>
    <t>Acceptable; file processed according to SOP,Notes/Other</t>
  </si>
  <si>
    <t>Acceptable; sample processed according to SOP,Notes/Other</t>
  </si>
  <si>
    <t>2021-09-01T06:03:00.000Z</t>
  </si>
  <si>
    <t>2021-09-01T06:20:00.000Z</t>
  </si>
  <si>
    <t>2021-09-01T06:30:00.000Z</t>
  </si>
  <si>
    <t>2021-09-01T06:46:00.000Z</t>
  </si>
  <si>
    <t>over-titrated</t>
  </si>
  <si>
    <t>DiscreteSampleFlag: Oxygen sample over-titrated</t>
  </si>
  <si>
    <t>DiscreteSampleFlag: Oxygen stopper placed in bottle upside down</t>
  </si>
  <si>
    <t>DiscreteSampleFlag: Oxygen Sample not clear another 1 mL of H2SO4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</si>
</sst>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Border="1"/>
    <xf numFmtId="0" fontId="0" fillId="0" borderId="0" xfId="0" applyBorder="1" applyAlignment="1"/>
    <xf numFmtId="0" fontId="2" fillId="0" borderId="0" xfId="0" applyFont="1"/>
    <xf numFmtId="49" fontId="1" fillId="0" borderId="0" xfId="0" applyNumberFormat="1" applyFont="1" applyFill="1" applyBorder="1" applyAlignment="1">
      <alignment horizontal="right"/>
    </xf>
    <xf numFmtId="49" fontId="1" fillId="0" borderId="0" xfId="0" applyNumberFormat="1" applyFont="1" applyAlignment="1">
      <alignment horizontal="right"/>
    </xf>
    <xf numFmtId="0" fontId="0" fillId="2" borderId="0" xfId="0" applyFill="1"/>
    <xf numFmtId="0" fontId="0" fillId="3" borderId="0" xfId="0" applyFill="1"/>
    <xf numFmtId="0" fontId="0" fillId="0" borderId="0" xfId="0" applyFill="1"/>
    <xf numFmtId="49" fontId="1" fillId="0" borderId="0" xfId="0" applyNumberFormat="1" applyFont="1" applyFill="1" applyAlignment="1">
      <alignment horizontal="right"/>
    </xf>
    <xf numFmtId="0" fontId="0" fillId="0" borderId="2" xfId="0" applyBorder="1" applyAlignment="1">
      <alignment horizontal="center" vertical="center"/>
    </xf>
    <xf numFmtId="0" fontId="4" fillId="0" borderId="0" xfId="0" applyFont="1"/>
    <xf numFmtId="0" fontId="0" fillId="0" borderId="1" xfId="0" applyBorder="1" applyAlignment="1"/>
    <xf numFmtId="0" fontId="2" fillId="0" borderId="1" xfId="0" applyFont="1" applyBorder="1" applyAlignme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1" fillId="0" borderId="0" xfId="0" applyNumberFormat="1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/>
    <xf numFmtId="2" fontId="0" fillId="2" borderId="0" xfId="0" applyNumberFormat="1" applyFill="1"/>
    <xf numFmtId="2" fontId="1" fillId="0" borderId="0" xfId="0" applyNumberFormat="1" applyFont="1" applyAlignment="1">
      <alignment horizontal="right"/>
    </xf>
    <xf numFmtId="2" fontId="0" fillId="0" borderId="0" xfId="0" applyNumberFormat="1"/>
    <xf numFmtId="0" fontId="1" fillId="0" borderId="0" xfId="0" applyNumberFormat="1" applyFont="1" applyAlignment="1">
      <alignment horizontal="right"/>
    </xf>
    <xf numFmtId="0" fontId="2" fillId="0" borderId="0" xfId="0" applyFont="1" applyBorder="1"/>
    <xf numFmtId="0" fontId="0" fillId="0" borderId="1" xfId="0" applyNumberFormat="1" applyBorder="1" applyAlignment="1"/>
    <xf numFmtId="0" fontId="0" fillId="0" borderId="0" xfId="0" applyNumberFormat="1"/>
    <xf numFmtId="0" fontId="0" fillId="0" borderId="0" xfId="0" applyFill="1" applyBorder="1"/>
    <xf numFmtId="0" fontId="0" fillId="2" borderId="0" xfId="0" applyFont="1" applyFill="1"/>
    <xf numFmtId="0" fontId="5" fillId="0" borderId="0" xfId="0" applyFont="1"/>
    <xf numFmtId="2" fontId="1" fillId="0" borderId="0" xfId="0" applyNumberFormat="1" applyFont="1" applyFill="1" applyAlignment="1">
      <alignment horizontal="right"/>
    </xf>
    <xf numFmtId="0" fontId="1" fillId="0" borderId="0" xfId="0" applyNumberFormat="1" applyFont="1" applyFill="1" applyAlignment="1">
      <alignment horizontal="right"/>
    </xf>
    <xf numFmtId="0" fontId="2" fillId="0" borderId="0" xfId="0" applyFont="1" applyAlignment="1">
      <alignment horizontal="right" vertical="center"/>
    </xf>
    <xf numFmtId="0" fontId="2" fillId="0" borderId="0" xfId="0" applyFont="1" applyAlignment="1"/>
    <xf numFmtId="0" fontId="0" fillId="0" borderId="0" xfId="0" applyAlignment="1"/>
    <xf numFmtId="22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applyAlignment="1"/>
    <xf numFmtId="0" fontId="2" fillId="0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/>
    <xf numFmtId="0" fontId="2" fillId="0" borderId="2" xfId="0" applyFont="1" applyBorder="1" applyAlignment="1">
      <alignment horizontal="center" vertical="center" wrapText="1"/>
    </xf>
    <xf numFmtId="0" fontId="2" fillId="4" borderId="2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0" xfId="0" applyFont="1" applyBorder="1" applyAlignment="1">
      <alignment horizontal="right" vertical="center"/>
    </xf>
    <xf numFmtId="0" fontId="0" fillId="0" borderId="0" xfId="0" applyBorder="1" applyAlignment="1"/>
    <xf numFmtId="0" fontId="2" fillId="4" borderId="5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5"/>
  </sheetPr>
  <dimension ref="A3:B20"/>
  <sheetViews>
    <sheetView workbookViewId="0"/>
  </sheetViews>
  <sheetFormatPr baseColWidth="10" defaultRowHeight="16" x14ac:dyDescent="0.2"/>
  <sheetData>
    <row r="3" spans="1:2" x14ac:dyDescent="0.2">
      <c r="A3" t="s">
        <v>212</v>
      </c>
      <c r="B3" t="s">
        <v>213</v>
      </c>
    </row>
    <row r="4" spans="1:2" x14ac:dyDescent="0.2">
      <c r="B4" t="s">
        <v>215</v>
      </c>
    </row>
    <row r="5" spans="1:2" x14ac:dyDescent="0.2">
      <c r="A5" t="s">
        <v>214</v>
      </c>
      <c r="B5" t="s">
        <v>216</v>
      </c>
    </row>
    <row r="9" spans="1:2" x14ac:dyDescent="0.2">
      <c r="A9" s="32" t="s">
        <v>217</v>
      </c>
    </row>
    <row r="11" spans="1:2" x14ac:dyDescent="0.2">
      <c r="A11" s="32" t="s">
        <v>218</v>
      </c>
    </row>
    <row r="12" spans="1:2" x14ac:dyDescent="0.2">
      <c r="A12" s="32" t="s">
        <v>219</v>
      </c>
    </row>
    <row r="13" spans="1:2" x14ac:dyDescent="0.2">
      <c r="A13" s="32" t="s">
        <v>220</v>
      </c>
    </row>
    <row r="14" spans="1:2" x14ac:dyDescent="0.2">
      <c r="A14" s="32" t="s">
        <v>221</v>
      </c>
    </row>
    <row r="15" spans="1:2" x14ac:dyDescent="0.2">
      <c r="A15" s="32" t="s">
        <v>222</v>
      </c>
    </row>
    <row r="16" spans="1:2" x14ac:dyDescent="0.2">
      <c r="A16" s="32" t="s">
        <v>223</v>
      </c>
    </row>
    <row r="17" spans="1:1" x14ac:dyDescent="0.2">
      <c r="A17" s="32" t="s">
        <v>224</v>
      </c>
    </row>
    <row r="18" spans="1:1" x14ac:dyDescent="0.2">
      <c r="A18" s="32" t="s">
        <v>225</v>
      </c>
    </row>
    <row r="19" spans="1:1" x14ac:dyDescent="0.2">
      <c r="A19" s="32" t="s">
        <v>226</v>
      </c>
    </row>
    <row r="20" spans="1:1" x14ac:dyDescent="0.2">
      <c r="A20" s="32" t="s">
        <v>227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I19"/>
  <sheetViews>
    <sheetView zoomScale="112" workbookViewId="0"/>
  </sheetViews>
  <sheetFormatPr baseColWidth="10" defaultColWidth="12.33203125" defaultRowHeight="16" x14ac:dyDescent="0.2"/>
  <cols>
    <col min="2" max="2" width="39.33203125" bestFit="1" customWidth="1"/>
    <col min="3" max="3" width="28.83203125" bestFit="1" customWidth="1"/>
    <col min="5" max="5" width="29.5" customWidth="1"/>
    <col min="6" max="6" width="30.33203125" bestFit="1" customWidth="1"/>
    <col min="7" max="7" width="36" bestFit="1" customWidth="1"/>
    <col min="8" max="8" width="37.6640625" style="21" bestFit="1" customWidth="1"/>
  </cols>
  <sheetData>
    <row r="1" spans="1:9" x14ac:dyDescent="0.2">
      <c r="A1" s="6" t="s">
        <v>15</v>
      </c>
      <c r="B1" s="7" t="s">
        <v>16</v>
      </c>
      <c r="C1" s="7" t="s">
        <v>17</v>
      </c>
      <c r="D1" s="6" t="s">
        <v>14</v>
      </c>
      <c r="E1" s="7" t="s">
        <v>18</v>
      </c>
      <c r="F1" s="6" t="s">
        <v>67</v>
      </c>
      <c r="G1" s="6" t="s">
        <v>68</v>
      </c>
      <c r="H1" s="20" t="s">
        <v>69</v>
      </c>
      <c r="I1" s="6" t="s">
        <v>0</v>
      </c>
    </row>
    <row r="2" spans="1:9" s="8" customFormat="1" x14ac:dyDescent="0.2">
      <c r="A2" s="8" t="s">
        <v>231</v>
      </c>
      <c r="B2" s="8" t="s">
        <v>232</v>
      </c>
      <c r="C2" s="4" t="s">
        <v>244</v>
      </c>
      <c r="D2" s="8" t="s">
        <v>233</v>
      </c>
      <c r="E2" s="4" t="s">
        <v>23</v>
      </c>
      <c r="F2" s="8">
        <v>2644</v>
      </c>
      <c r="G2" s="4" t="s">
        <v>242</v>
      </c>
      <c r="H2" s="19" t="s">
        <v>37</v>
      </c>
    </row>
    <row r="3" spans="1:9" s="8" customFormat="1" x14ac:dyDescent="0.2">
      <c r="A3" s="8" t="s">
        <v>231</v>
      </c>
      <c r="B3" s="8" t="s">
        <v>175</v>
      </c>
      <c r="C3" s="4" t="s">
        <v>244</v>
      </c>
      <c r="D3" s="8" t="s">
        <v>245</v>
      </c>
      <c r="E3" s="4" t="s">
        <v>247</v>
      </c>
      <c r="F3" s="8">
        <v>2644</v>
      </c>
      <c r="G3" s="4" t="s">
        <v>246</v>
      </c>
      <c r="H3" s="19" t="s">
        <v>36</v>
      </c>
      <c r="I3" s="8" t="s">
        <v>248</v>
      </c>
    </row>
    <row r="4" spans="1:9" s="8" customFormat="1" x14ac:dyDescent="0.2">
      <c r="A4" s="8" t="s">
        <v>231</v>
      </c>
      <c r="B4" s="8" t="s">
        <v>175</v>
      </c>
      <c r="C4" s="4" t="s">
        <v>244</v>
      </c>
      <c r="D4" s="8" t="s">
        <v>249</v>
      </c>
      <c r="E4" s="4" t="s">
        <v>23</v>
      </c>
      <c r="F4" s="8">
        <v>2644</v>
      </c>
      <c r="G4" s="4" t="s">
        <v>250</v>
      </c>
      <c r="H4" s="19" t="s">
        <v>37</v>
      </c>
    </row>
    <row r="5" spans="1:9" s="8" customFormat="1" x14ac:dyDescent="0.2">
      <c r="A5" s="8" t="s">
        <v>231</v>
      </c>
      <c r="B5" s="8" t="s">
        <v>73</v>
      </c>
      <c r="C5" s="4" t="s">
        <v>257</v>
      </c>
      <c r="D5" s="8" t="s">
        <v>256</v>
      </c>
      <c r="E5" s="4" t="s">
        <v>34</v>
      </c>
      <c r="F5" s="8">
        <v>2606</v>
      </c>
      <c r="G5" s="39" t="s">
        <v>352</v>
      </c>
      <c r="H5" s="19" t="s">
        <v>37</v>
      </c>
    </row>
    <row r="6" spans="1:9" s="8" customFormat="1" x14ac:dyDescent="0.2">
      <c r="A6" s="8" t="s">
        <v>231</v>
      </c>
      <c r="B6" s="8" t="s">
        <v>327</v>
      </c>
      <c r="C6" s="4" t="s">
        <v>259</v>
      </c>
      <c r="D6" s="8" t="s">
        <v>260</v>
      </c>
      <c r="E6" s="4" t="s">
        <v>247</v>
      </c>
      <c r="F6" s="8">
        <v>2937</v>
      </c>
      <c r="G6" s="4" t="s">
        <v>261</v>
      </c>
      <c r="H6" s="19" t="s">
        <v>262</v>
      </c>
      <c r="I6" s="8" t="s">
        <v>326</v>
      </c>
    </row>
    <row r="7" spans="1:9" s="8" customFormat="1" x14ac:dyDescent="0.2">
      <c r="A7" s="8" t="s">
        <v>231</v>
      </c>
      <c r="B7" s="8" t="s">
        <v>327</v>
      </c>
      <c r="C7" s="4" t="s">
        <v>259</v>
      </c>
      <c r="D7" s="8" t="s">
        <v>264</v>
      </c>
      <c r="E7" s="4" t="s">
        <v>23</v>
      </c>
      <c r="F7" s="8">
        <v>2938</v>
      </c>
      <c r="G7" s="4" t="s">
        <v>265</v>
      </c>
      <c r="H7" s="19" t="s">
        <v>37</v>
      </c>
    </row>
    <row r="8" spans="1:9" s="8" customFormat="1" x14ac:dyDescent="0.2">
      <c r="A8" s="8" t="s">
        <v>231</v>
      </c>
      <c r="B8" s="8" t="s">
        <v>228</v>
      </c>
      <c r="C8" s="4" t="s">
        <v>257</v>
      </c>
      <c r="D8" s="8" t="s">
        <v>279</v>
      </c>
      <c r="E8" s="4" t="s">
        <v>34</v>
      </c>
      <c r="F8" s="8">
        <v>2902</v>
      </c>
      <c r="G8" s="39" t="s">
        <v>353</v>
      </c>
      <c r="H8" s="19" t="s">
        <v>37</v>
      </c>
    </row>
    <row r="9" spans="1:9" s="8" customFormat="1" x14ac:dyDescent="0.2">
      <c r="A9" s="8" t="s">
        <v>231</v>
      </c>
      <c r="B9" s="8" t="s">
        <v>77</v>
      </c>
      <c r="C9" s="4" t="s">
        <v>83</v>
      </c>
      <c r="D9" s="8" t="s">
        <v>291</v>
      </c>
      <c r="E9" s="4" t="s">
        <v>34</v>
      </c>
      <c r="F9" s="8">
        <v>2892</v>
      </c>
      <c r="G9" s="39" t="s">
        <v>355</v>
      </c>
      <c r="H9" s="19" t="s">
        <v>362</v>
      </c>
      <c r="I9" t="s">
        <v>354</v>
      </c>
    </row>
    <row r="10" spans="1:9" s="8" customFormat="1" x14ac:dyDescent="0.2">
      <c r="A10" s="8" t="s">
        <v>231</v>
      </c>
      <c r="B10" s="8" t="s">
        <v>188</v>
      </c>
      <c r="C10" s="4" t="s">
        <v>82</v>
      </c>
      <c r="D10" s="8" t="s">
        <v>292</v>
      </c>
      <c r="E10" s="4" t="s">
        <v>23</v>
      </c>
      <c r="F10" s="8">
        <v>571</v>
      </c>
      <c r="G10" s="4" t="s">
        <v>293</v>
      </c>
      <c r="H10" s="19" t="s">
        <v>37</v>
      </c>
    </row>
    <row r="11" spans="1:9" s="8" customFormat="1" x14ac:dyDescent="0.2">
      <c r="A11" s="8" t="s">
        <v>231</v>
      </c>
      <c r="B11" s="8" t="s">
        <v>205</v>
      </c>
      <c r="C11" s="4" t="s">
        <v>323</v>
      </c>
      <c r="D11" s="8" t="s">
        <v>316</v>
      </c>
      <c r="E11" s="4" t="s">
        <v>23</v>
      </c>
      <c r="F11" s="8">
        <v>2623</v>
      </c>
      <c r="G11" s="4" t="s">
        <v>324</v>
      </c>
      <c r="H11" s="19" t="s">
        <v>37</v>
      </c>
    </row>
    <row r="12" spans="1:9" s="8" customFormat="1" x14ac:dyDescent="0.2">
      <c r="C12" s="4"/>
      <c r="E12" s="4"/>
      <c r="H12" s="19"/>
    </row>
    <row r="13" spans="1:9" s="8" customFormat="1" x14ac:dyDescent="0.2">
      <c r="C13" s="4"/>
      <c r="E13" s="4"/>
      <c r="H13" s="19"/>
    </row>
    <row r="14" spans="1:9" s="8" customFormat="1" x14ac:dyDescent="0.2">
      <c r="C14" s="4"/>
      <c r="E14" s="4"/>
      <c r="H14" s="19"/>
    </row>
    <row r="15" spans="1:9" s="8" customFormat="1" x14ac:dyDescent="0.2">
      <c r="C15" s="4"/>
      <c r="E15" s="4"/>
      <c r="H15" s="19"/>
    </row>
    <row r="16" spans="1:9" s="8" customFormat="1" x14ac:dyDescent="0.2">
      <c r="C16" s="4"/>
      <c r="E16" s="4"/>
      <c r="H16" s="19"/>
    </row>
    <row r="17" spans="3:8" s="8" customFormat="1" x14ac:dyDescent="0.2">
      <c r="C17" s="4"/>
      <c r="E17" s="4"/>
      <c r="H17" s="19"/>
    </row>
    <row r="18" spans="3:8" s="8" customFormat="1" x14ac:dyDescent="0.2">
      <c r="C18" s="4"/>
      <c r="E18" s="4"/>
      <c r="H18" s="19"/>
    </row>
    <row r="19" spans="3:8" s="8" customFormat="1" x14ac:dyDescent="0.2">
      <c r="C19" s="4"/>
      <c r="E19" s="4"/>
      <c r="H19" s="19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0000000}">
          <x14:formula1>
            <xm:f>_Flags_!$B$2:$B$17</xm:f>
          </x14:formula1>
          <xm:sqref>E2:E19</xm:sqref>
        </x14:dataValidation>
        <x14:dataValidation type="list" allowBlank="1" showInputMessage="1" showErrorMessage="1" xr:uid="{00000000-0002-0000-0100-000001000000}">
          <x14:formula1>
            <xm:f>_Flags_!$C$2:$C$17</xm:f>
          </x14:formula1>
          <xm:sqref>H2:H19</xm:sqref>
        </x14:dataValidation>
        <x14:dataValidation type="list" allowBlank="1" showInputMessage="1" showErrorMessage="1" xr:uid="{00000000-0002-0000-0100-000002000000}">
          <x14:formula1>
            <xm:f>'  _Stations_  '!$A$1:$A$51</xm:f>
          </x14:formula1>
          <xm:sqref>B15:B19</xm:sqref>
        </x14:dataValidation>
        <x14:dataValidation type="list" allowBlank="1" showInputMessage="1" showErrorMessage="1" xr:uid="{00000000-0002-0000-0100-000003000000}">
          <x14:formula1>
            <xm:f>_TargetAssets_!$A:$A</xm:f>
          </x14:formula1>
          <xm:sqref>C2:C14</xm:sqref>
        </x14:dataValidation>
        <x14:dataValidation type="list" allowBlank="1" showInputMessage="1" showErrorMessage="1" xr:uid="{00000000-0002-0000-0100-000004000000}">
          <x14:formula1>
            <xm:f>_TargetAssets_!$A$1:$A$15</xm:f>
          </x14:formula1>
          <xm:sqref>C15:C19</xm:sqref>
        </x14:dataValidation>
        <x14:dataValidation type="list" allowBlank="1" showInputMessage="1" showErrorMessage="1" xr:uid="{00000000-0002-0000-0100-000005000000}">
          <x14:formula1>
            <xm:f>'  _Stations_  '!$A:$A</xm:f>
          </x14:formula1>
          <xm:sqref>B2:B14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2D050"/>
  </sheetPr>
  <dimension ref="A1:AC153"/>
  <sheetViews>
    <sheetView workbookViewId="0">
      <pane ySplit="1" topLeftCell="A54" activePane="bottomLeft" state="frozen"/>
      <selection pane="bottomLeft" activeCell="A87" sqref="A87"/>
    </sheetView>
  </sheetViews>
  <sheetFormatPr baseColWidth="10" defaultRowHeight="16" x14ac:dyDescent="0.2"/>
  <cols>
    <col min="1" max="1" width="8" bestFit="1" customWidth="1"/>
    <col min="2" max="2" width="19.1640625" bestFit="1" customWidth="1"/>
    <col min="3" max="3" width="17" bestFit="1" customWidth="1"/>
    <col min="4" max="4" width="11.83203125" bestFit="1" customWidth="1"/>
    <col min="5" max="5" width="20" bestFit="1" customWidth="1"/>
    <col min="6" max="6" width="18.5" customWidth="1"/>
    <col min="7" max="7" width="27" customWidth="1"/>
    <col min="8" max="8" width="16.6640625" bestFit="1" customWidth="1"/>
    <col min="9" max="9" width="15" customWidth="1"/>
    <col min="10" max="10" width="23.5" customWidth="1"/>
    <col min="11" max="11" width="24.83203125" customWidth="1"/>
    <col min="12" max="12" width="20" customWidth="1"/>
    <col min="13" max="13" width="28.5" customWidth="1"/>
    <col min="14" max="14" width="19" customWidth="1"/>
    <col min="15" max="15" width="16.83203125" customWidth="1"/>
    <col min="16" max="16" width="25.1640625" customWidth="1"/>
    <col min="17" max="17" width="21.5" customWidth="1"/>
    <col min="18" max="18" width="14.5" customWidth="1"/>
    <col min="19" max="19" width="23" customWidth="1"/>
    <col min="20" max="20" width="20.83203125" bestFit="1" customWidth="1"/>
    <col min="21" max="21" width="20.1640625" customWidth="1"/>
    <col min="22" max="22" width="28.6640625" customWidth="1"/>
    <col min="23" max="23" width="20" bestFit="1" customWidth="1"/>
    <col min="24" max="24" width="18.5" customWidth="1"/>
    <col min="25" max="25" width="27" customWidth="1"/>
    <col min="26" max="26" width="23.1640625" style="25" bestFit="1" customWidth="1"/>
    <col min="27" max="27" width="23.33203125" customWidth="1"/>
    <col min="28" max="28" width="31.83203125" customWidth="1"/>
  </cols>
  <sheetData>
    <row r="1" spans="1:29" x14ac:dyDescent="0.2">
      <c r="A1" s="7" t="s">
        <v>14</v>
      </c>
      <c r="B1" s="7" t="s">
        <v>70</v>
      </c>
      <c r="C1" s="7" t="s">
        <v>19</v>
      </c>
      <c r="D1" s="6" t="s">
        <v>89</v>
      </c>
      <c r="E1" s="6" t="s">
        <v>114</v>
      </c>
      <c r="F1" s="7" t="s">
        <v>104</v>
      </c>
      <c r="G1" s="7" t="s">
        <v>105</v>
      </c>
      <c r="H1" s="6" t="s">
        <v>118</v>
      </c>
      <c r="I1" s="7" t="s">
        <v>112</v>
      </c>
      <c r="J1" s="7" t="s">
        <v>113</v>
      </c>
      <c r="K1" s="31" t="s">
        <v>169</v>
      </c>
      <c r="L1" s="7" t="s">
        <v>163</v>
      </c>
      <c r="M1" s="7" t="s">
        <v>164</v>
      </c>
      <c r="N1" s="6" t="s">
        <v>170</v>
      </c>
      <c r="O1" s="7" t="s">
        <v>165</v>
      </c>
      <c r="P1" s="7" t="s">
        <v>166</v>
      </c>
      <c r="Q1" s="6" t="s">
        <v>171</v>
      </c>
      <c r="R1" s="7" t="s">
        <v>167</v>
      </c>
      <c r="S1" s="7" t="s">
        <v>168</v>
      </c>
      <c r="T1" s="6" t="s">
        <v>117</v>
      </c>
      <c r="U1" s="7" t="s">
        <v>108</v>
      </c>
      <c r="V1" s="7" t="s">
        <v>109</v>
      </c>
      <c r="W1" s="6" t="s">
        <v>116</v>
      </c>
      <c r="X1" s="7" t="s">
        <v>110</v>
      </c>
      <c r="Y1" s="7" t="s">
        <v>111</v>
      </c>
      <c r="Z1" s="23" t="s">
        <v>115</v>
      </c>
      <c r="AA1" s="7" t="s">
        <v>106</v>
      </c>
      <c r="AB1" s="22" t="s">
        <v>107</v>
      </c>
      <c r="AC1" s="6" t="s">
        <v>0</v>
      </c>
    </row>
    <row r="2" spans="1:29" x14ac:dyDescent="0.2">
      <c r="A2" t="s">
        <v>233</v>
      </c>
      <c r="B2" s="8">
        <v>1</v>
      </c>
      <c r="C2" s="9" t="s">
        <v>50</v>
      </c>
      <c r="D2">
        <v>220</v>
      </c>
      <c r="E2">
        <v>313</v>
      </c>
      <c r="F2" t="s">
        <v>57</v>
      </c>
      <c r="G2" s="5" t="s">
        <v>61</v>
      </c>
      <c r="H2">
        <v>101</v>
      </c>
      <c r="I2" t="s">
        <v>99</v>
      </c>
      <c r="J2" s="5" t="s">
        <v>61</v>
      </c>
      <c r="K2" s="8"/>
      <c r="L2" s="8"/>
      <c r="M2" s="8"/>
      <c r="T2">
        <v>3265</v>
      </c>
      <c r="U2" t="s">
        <v>99</v>
      </c>
      <c r="V2" s="5" t="s">
        <v>61</v>
      </c>
      <c r="W2">
        <v>19</v>
      </c>
      <c r="X2" t="s">
        <v>99</v>
      </c>
      <c r="Y2" s="5" t="s">
        <v>61</v>
      </c>
      <c r="Z2" s="24"/>
      <c r="AB2" s="5"/>
    </row>
    <row r="3" spans="1:29" x14ac:dyDescent="0.2">
      <c r="A3" t="s">
        <v>233</v>
      </c>
      <c r="B3" s="8">
        <v>3</v>
      </c>
      <c r="C3" s="9" t="s">
        <v>50</v>
      </c>
      <c r="D3">
        <v>200</v>
      </c>
      <c r="G3" s="5"/>
      <c r="H3">
        <v>102</v>
      </c>
      <c r="I3" t="s">
        <v>99</v>
      </c>
      <c r="J3" s="5" t="s">
        <v>61</v>
      </c>
      <c r="T3">
        <v>3266</v>
      </c>
      <c r="U3" t="s">
        <v>99</v>
      </c>
      <c r="V3" s="5" t="s">
        <v>61</v>
      </c>
      <c r="Y3" s="5"/>
      <c r="Z3" s="24"/>
      <c r="AB3" s="5"/>
    </row>
    <row r="4" spans="1:29" x14ac:dyDescent="0.2">
      <c r="A4" t="s">
        <v>233</v>
      </c>
      <c r="B4" s="8">
        <v>5</v>
      </c>
      <c r="C4" s="9" t="s">
        <v>50</v>
      </c>
      <c r="D4">
        <v>180</v>
      </c>
      <c r="E4">
        <v>314</v>
      </c>
      <c r="F4" t="s">
        <v>57</v>
      </c>
      <c r="G4" s="5" t="s">
        <v>61</v>
      </c>
      <c r="H4">
        <v>103</v>
      </c>
      <c r="I4" t="s">
        <v>99</v>
      </c>
      <c r="J4" s="5" t="s">
        <v>61</v>
      </c>
      <c r="T4">
        <v>3267</v>
      </c>
      <c r="U4" t="s">
        <v>99</v>
      </c>
      <c r="V4" s="5" t="s">
        <v>61</v>
      </c>
      <c r="W4">
        <v>20</v>
      </c>
      <c r="X4" t="s">
        <v>99</v>
      </c>
      <c r="Y4" s="5" t="s">
        <v>61</v>
      </c>
      <c r="Z4" s="24"/>
      <c r="AB4" s="5"/>
    </row>
    <row r="5" spans="1:29" x14ac:dyDescent="0.2">
      <c r="A5" t="s">
        <v>233</v>
      </c>
      <c r="B5" s="8">
        <v>6</v>
      </c>
      <c r="C5" s="9" t="s">
        <v>50</v>
      </c>
      <c r="D5">
        <v>180</v>
      </c>
      <c r="E5">
        <v>315</v>
      </c>
      <c r="F5" t="s">
        <v>363</v>
      </c>
      <c r="G5" s="5" t="s">
        <v>61</v>
      </c>
      <c r="J5" s="5"/>
      <c r="V5" s="5"/>
      <c r="Y5" s="5"/>
      <c r="Z5" s="24"/>
      <c r="AB5" s="5"/>
      <c r="AC5" t="s">
        <v>370</v>
      </c>
    </row>
    <row r="6" spans="1:29" x14ac:dyDescent="0.2">
      <c r="A6" t="s">
        <v>233</v>
      </c>
      <c r="B6" s="8">
        <v>7</v>
      </c>
      <c r="C6" s="9" t="s">
        <v>50</v>
      </c>
      <c r="D6">
        <v>160</v>
      </c>
      <c r="G6" s="5"/>
      <c r="H6">
        <v>104</v>
      </c>
      <c r="I6" t="s">
        <v>99</v>
      </c>
      <c r="J6" s="5" t="s">
        <v>61</v>
      </c>
      <c r="T6">
        <v>3268</v>
      </c>
      <c r="U6" t="s">
        <v>99</v>
      </c>
      <c r="V6" s="5" t="s">
        <v>61</v>
      </c>
      <c r="Y6" s="5"/>
      <c r="Z6" s="24"/>
      <c r="AB6" s="5"/>
    </row>
    <row r="7" spans="1:29" x14ac:dyDescent="0.2">
      <c r="A7" t="s">
        <v>233</v>
      </c>
      <c r="B7" s="8">
        <v>9</v>
      </c>
      <c r="C7" s="9" t="s">
        <v>50</v>
      </c>
      <c r="D7">
        <v>140</v>
      </c>
      <c r="E7">
        <v>316</v>
      </c>
      <c r="F7" t="s">
        <v>57</v>
      </c>
      <c r="G7" s="5" t="s">
        <v>61</v>
      </c>
      <c r="H7">
        <v>105</v>
      </c>
      <c r="I7" t="s">
        <v>99</v>
      </c>
      <c r="J7" s="5" t="s">
        <v>61</v>
      </c>
      <c r="T7">
        <v>3269</v>
      </c>
      <c r="U7" t="s">
        <v>99</v>
      </c>
      <c r="V7" s="5" t="s">
        <v>61</v>
      </c>
      <c r="W7">
        <v>21</v>
      </c>
      <c r="X7" t="s">
        <v>99</v>
      </c>
      <c r="Y7" s="5" t="s">
        <v>61</v>
      </c>
      <c r="Z7" s="24"/>
      <c r="AB7" s="5"/>
    </row>
    <row r="8" spans="1:29" x14ac:dyDescent="0.2">
      <c r="A8" t="s">
        <v>233</v>
      </c>
      <c r="B8" s="8">
        <v>11</v>
      </c>
      <c r="C8" s="9" t="s">
        <v>50</v>
      </c>
      <c r="D8">
        <v>120</v>
      </c>
      <c r="G8" s="5"/>
      <c r="H8">
        <v>106</v>
      </c>
      <c r="I8" t="s">
        <v>99</v>
      </c>
      <c r="J8" s="5" t="s">
        <v>61</v>
      </c>
      <c r="T8">
        <v>3270</v>
      </c>
      <c r="U8" t="s">
        <v>99</v>
      </c>
      <c r="V8" s="5" t="s">
        <v>61</v>
      </c>
      <c r="Y8" s="5"/>
      <c r="Z8" s="24"/>
      <c r="AB8" s="5"/>
    </row>
    <row r="9" spans="1:29" s="8" customFormat="1" x14ac:dyDescent="0.2">
      <c r="A9" s="8" t="s">
        <v>233</v>
      </c>
      <c r="B9" s="8">
        <v>13</v>
      </c>
      <c r="C9" s="9" t="s">
        <v>50</v>
      </c>
      <c r="D9" s="8">
        <v>100</v>
      </c>
      <c r="E9" s="8">
        <v>317</v>
      </c>
      <c r="F9" s="8" t="s">
        <v>57</v>
      </c>
      <c r="G9" s="9" t="s">
        <v>62</v>
      </c>
      <c r="H9" s="8">
        <v>107</v>
      </c>
      <c r="I9" s="8" t="s">
        <v>99</v>
      </c>
      <c r="J9" s="9" t="s">
        <v>61</v>
      </c>
      <c r="T9" s="8">
        <v>3271</v>
      </c>
      <c r="U9" s="8" t="s">
        <v>99</v>
      </c>
      <c r="V9" s="9" t="s">
        <v>61</v>
      </c>
      <c r="W9" s="8">
        <v>22</v>
      </c>
      <c r="X9" s="8" t="s">
        <v>99</v>
      </c>
      <c r="Y9" s="9" t="s">
        <v>61</v>
      </c>
      <c r="Z9" s="33" t="s">
        <v>234</v>
      </c>
      <c r="AA9" s="8" t="s">
        <v>99</v>
      </c>
      <c r="AB9" s="9" t="s">
        <v>61</v>
      </c>
    </row>
    <row r="10" spans="1:29" s="8" customFormat="1" x14ac:dyDescent="0.2">
      <c r="A10" s="8" t="s">
        <v>233</v>
      </c>
      <c r="B10" s="8">
        <v>13</v>
      </c>
      <c r="C10" s="9" t="s">
        <v>50</v>
      </c>
      <c r="D10" s="8">
        <v>100</v>
      </c>
      <c r="E10" s="8">
        <v>321</v>
      </c>
      <c r="F10" s="8" t="s">
        <v>57</v>
      </c>
      <c r="G10" s="9" t="s">
        <v>62</v>
      </c>
      <c r="J10" s="9"/>
      <c r="V10" s="9"/>
      <c r="Y10" s="9"/>
      <c r="Z10" s="33"/>
      <c r="AB10" s="9"/>
    </row>
    <row r="11" spans="1:29" s="8" customFormat="1" x14ac:dyDescent="0.2">
      <c r="A11" s="8" t="s">
        <v>233</v>
      </c>
      <c r="B11" s="8">
        <v>15</v>
      </c>
      <c r="C11" s="9" t="s">
        <v>50</v>
      </c>
      <c r="D11" s="8">
        <v>80</v>
      </c>
      <c r="G11" s="9"/>
      <c r="H11" s="8">
        <v>108</v>
      </c>
      <c r="I11" s="8" t="s">
        <v>99</v>
      </c>
      <c r="J11" s="9" t="s">
        <v>61</v>
      </c>
      <c r="T11" s="8">
        <v>3272</v>
      </c>
      <c r="U11" s="8" t="s">
        <v>99</v>
      </c>
      <c r="V11" s="9" t="s">
        <v>61</v>
      </c>
      <c r="Y11" s="9"/>
      <c r="Z11" s="33" t="s">
        <v>235</v>
      </c>
      <c r="AA11" s="8" t="s">
        <v>99</v>
      </c>
      <c r="AB11" s="9" t="s">
        <v>61</v>
      </c>
    </row>
    <row r="12" spans="1:29" s="8" customFormat="1" x14ac:dyDescent="0.2">
      <c r="A12" s="8" t="s">
        <v>233</v>
      </c>
      <c r="B12" s="8">
        <v>17</v>
      </c>
      <c r="C12" s="9" t="s">
        <v>50</v>
      </c>
      <c r="D12" s="8">
        <v>60</v>
      </c>
      <c r="E12" s="8">
        <v>318</v>
      </c>
      <c r="F12" s="8" t="s">
        <v>57</v>
      </c>
      <c r="G12" s="9" t="s">
        <v>61</v>
      </c>
      <c r="H12" s="8">
        <v>109</v>
      </c>
      <c r="I12" s="8" t="s">
        <v>99</v>
      </c>
      <c r="J12" s="9" t="s">
        <v>61</v>
      </c>
      <c r="T12" s="8">
        <v>3273</v>
      </c>
      <c r="U12" s="8" t="s">
        <v>99</v>
      </c>
      <c r="V12" s="9" t="s">
        <v>61</v>
      </c>
      <c r="W12" s="8">
        <v>23</v>
      </c>
      <c r="X12" s="8" t="s">
        <v>99</v>
      </c>
      <c r="Y12" s="9" t="s">
        <v>61</v>
      </c>
      <c r="Z12" s="33" t="s">
        <v>236</v>
      </c>
      <c r="AA12" s="8" t="s">
        <v>99</v>
      </c>
      <c r="AB12" s="9" t="s">
        <v>61</v>
      </c>
    </row>
    <row r="13" spans="1:29" s="8" customFormat="1" x14ac:dyDescent="0.2">
      <c r="A13" s="8" t="s">
        <v>233</v>
      </c>
      <c r="B13" s="8">
        <v>19</v>
      </c>
      <c r="C13" s="9" t="s">
        <v>50</v>
      </c>
      <c r="D13" s="8">
        <v>40</v>
      </c>
      <c r="G13" s="9"/>
      <c r="H13" s="8">
        <v>110</v>
      </c>
      <c r="I13" s="8" t="s">
        <v>99</v>
      </c>
      <c r="J13" s="9" t="s">
        <v>61</v>
      </c>
      <c r="T13" s="8">
        <v>3274</v>
      </c>
      <c r="U13" s="8" t="s">
        <v>99</v>
      </c>
      <c r="V13" s="9" t="s">
        <v>61</v>
      </c>
      <c r="Y13" s="9"/>
      <c r="Z13" s="33" t="s">
        <v>237</v>
      </c>
      <c r="AA13" s="8" t="s">
        <v>99</v>
      </c>
      <c r="AB13" s="9" t="s">
        <v>61</v>
      </c>
    </row>
    <row r="14" spans="1:29" s="8" customFormat="1" x14ac:dyDescent="0.2">
      <c r="A14" s="8" t="s">
        <v>233</v>
      </c>
      <c r="B14" s="8">
        <v>21</v>
      </c>
      <c r="C14" s="9" t="s">
        <v>50</v>
      </c>
      <c r="D14" s="8">
        <v>20</v>
      </c>
      <c r="G14" s="9"/>
      <c r="H14" s="8">
        <v>111</v>
      </c>
      <c r="I14" s="8" t="s">
        <v>99</v>
      </c>
      <c r="J14" s="9" t="s">
        <v>61</v>
      </c>
      <c r="T14" s="8">
        <v>3275</v>
      </c>
      <c r="U14" s="8" t="s">
        <v>99</v>
      </c>
      <c r="V14" s="9" t="s">
        <v>61</v>
      </c>
      <c r="W14" s="8">
        <v>24</v>
      </c>
      <c r="X14" s="8" t="s">
        <v>99</v>
      </c>
      <c r="Y14" s="9" t="s">
        <v>61</v>
      </c>
      <c r="Z14" s="33" t="s">
        <v>238</v>
      </c>
      <c r="AA14" s="8" t="s">
        <v>99</v>
      </c>
      <c r="AB14" s="9" t="s">
        <v>61</v>
      </c>
    </row>
    <row r="15" spans="1:29" s="8" customFormat="1" x14ac:dyDescent="0.2">
      <c r="A15" s="8" t="s">
        <v>233</v>
      </c>
      <c r="B15" s="8">
        <v>22</v>
      </c>
      <c r="C15" s="9" t="s">
        <v>50</v>
      </c>
      <c r="D15" s="8">
        <v>20</v>
      </c>
      <c r="E15" s="8">
        <v>319</v>
      </c>
      <c r="F15" s="8" t="s">
        <v>57</v>
      </c>
      <c r="G15" s="9" t="s">
        <v>61</v>
      </c>
      <c r="J15" s="9"/>
      <c r="V15" s="9"/>
      <c r="Y15" s="9"/>
      <c r="Z15" s="33"/>
      <c r="AB15" s="9"/>
    </row>
    <row r="16" spans="1:29" s="8" customFormat="1" x14ac:dyDescent="0.2">
      <c r="A16" s="8" t="s">
        <v>233</v>
      </c>
      <c r="B16" s="8">
        <v>23</v>
      </c>
      <c r="C16" s="9" t="s">
        <v>50</v>
      </c>
      <c r="D16" s="8">
        <v>10</v>
      </c>
      <c r="G16" s="9"/>
      <c r="H16" s="8">
        <v>113</v>
      </c>
      <c r="I16" s="8" t="s">
        <v>99</v>
      </c>
      <c r="J16" s="9" t="s">
        <v>61</v>
      </c>
      <c r="T16" s="8">
        <v>3276</v>
      </c>
      <c r="U16" s="8" t="s">
        <v>99</v>
      </c>
      <c r="V16" s="9" t="s">
        <v>61</v>
      </c>
      <c r="Y16" s="9"/>
      <c r="Z16" s="33" t="s">
        <v>239</v>
      </c>
      <c r="AA16" s="8" t="s">
        <v>99</v>
      </c>
      <c r="AB16" s="9" t="s">
        <v>61</v>
      </c>
    </row>
    <row r="17" spans="1:29" s="8" customFormat="1" x14ac:dyDescent="0.2">
      <c r="A17" s="8" t="s">
        <v>233</v>
      </c>
      <c r="B17" s="8">
        <v>24</v>
      </c>
      <c r="C17" s="9" t="s">
        <v>50</v>
      </c>
      <c r="D17" s="8">
        <v>10</v>
      </c>
      <c r="E17" s="8">
        <v>320</v>
      </c>
      <c r="F17" s="8" t="s">
        <v>57</v>
      </c>
      <c r="G17" s="9" t="s">
        <v>61</v>
      </c>
      <c r="J17" s="9"/>
      <c r="V17" s="9"/>
      <c r="Y17" s="9"/>
      <c r="Z17" s="33"/>
      <c r="AB17" s="9"/>
    </row>
    <row r="18" spans="1:29" s="8" customFormat="1" x14ac:dyDescent="0.2">
      <c r="A18" s="8" t="s">
        <v>249</v>
      </c>
      <c r="B18" s="8">
        <v>1</v>
      </c>
      <c r="C18" s="9" t="s">
        <v>50</v>
      </c>
      <c r="D18" s="8">
        <v>220</v>
      </c>
      <c r="E18" s="8">
        <v>326</v>
      </c>
      <c r="F18" s="8" t="s">
        <v>57</v>
      </c>
      <c r="G18" s="9" t="s">
        <v>61</v>
      </c>
      <c r="H18" s="8">
        <v>125</v>
      </c>
      <c r="I18" s="8" t="s">
        <v>99</v>
      </c>
      <c r="J18" s="9" t="s">
        <v>61</v>
      </c>
      <c r="T18" s="8">
        <v>3277</v>
      </c>
      <c r="U18" s="8" t="s">
        <v>99</v>
      </c>
      <c r="V18" s="9" t="s">
        <v>61</v>
      </c>
      <c r="W18" s="8">
        <v>17</v>
      </c>
      <c r="X18" s="8" t="s">
        <v>99</v>
      </c>
      <c r="Y18" s="9" t="s">
        <v>61</v>
      </c>
      <c r="Z18" s="34"/>
      <c r="AB18" s="9"/>
    </row>
    <row r="19" spans="1:29" s="8" customFormat="1" x14ac:dyDescent="0.2">
      <c r="A19" s="8" t="s">
        <v>249</v>
      </c>
      <c r="B19" s="8">
        <v>5</v>
      </c>
      <c r="C19" s="9" t="s">
        <v>50</v>
      </c>
      <c r="D19" s="8">
        <v>180</v>
      </c>
      <c r="E19" s="8">
        <v>328</v>
      </c>
      <c r="F19" s="8" t="s">
        <v>57</v>
      </c>
      <c r="G19" s="9" t="s">
        <v>61</v>
      </c>
      <c r="H19" s="8">
        <v>126</v>
      </c>
      <c r="I19" s="8" t="s">
        <v>99</v>
      </c>
      <c r="J19" s="9" t="s">
        <v>61</v>
      </c>
      <c r="T19" s="8">
        <v>3278</v>
      </c>
      <c r="U19" s="8" t="s">
        <v>99</v>
      </c>
      <c r="V19" s="9" t="s">
        <v>61</v>
      </c>
      <c r="W19" s="8">
        <v>16</v>
      </c>
      <c r="X19" s="8" t="s">
        <v>99</v>
      </c>
      <c r="Y19" s="9" t="s">
        <v>61</v>
      </c>
      <c r="Z19" s="34"/>
      <c r="AB19" s="9"/>
    </row>
    <row r="20" spans="1:29" s="8" customFormat="1" x14ac:dyDescent="0.2">
      <c r="A20" s="8" t="s">
        <v>249</v>
      </c>
      <c r="B20" s="8">
        <v>6</v>
      </c>
      <c r="C20" s="9" t="s">
        <v>50</v>
      </c>
      <c r="D20" s="8">
        <v>180</v>
      </c>
      <c r="E20" s="8">
        <v>327</v>
      </c>
      <c r="F20" s="8" t="s">
        <v>57</v>
      </c>
      <c r="G20" s="9" t="s">
        <v>61</v>
      </c>
      <c r="J20" s="9"/>
      <c r="V20" s="9"/>
      <c r="Y20" s="9"/>
      <c r="Z20" s="34"/>
      <c r="AB20" s="9"/>
    </row>
    <row r="21" spans="1:29" s="8" customFormat="1" x14ac:dyDescent="0.2">
      <c r="A21" s="8" t="s">
        <v>249</v>
      </c>
      <c r="B21" s="8">
        <v>9</v>
      </c>
      <c r="C21" s="9" t="s">
        <v>50</v>
      </c>
      <c r="D21" s="8">
        <v>140</v>
      </c>
      <c r="E21" s="8">
        <v>329</v>
      </c>
      <c r="F21" s="8" t="s">
        <v>57</v>
      </c>
      <c r="G21" s="9" t="s">
        <v>61</v>
      </c>
      <c r="H21" s="8">
        <v>127</v>
      </c>
      <c r="I21" s="8" t="s">
        <v>99</v>
      </c>
      <c r="J21" s="9" t="s">
        <v>61</v>
      </c>
      <c r="T21" s="8">
        <v>3279</v>
      </c>
      <c r="U21" s="8" t="s">
        <v>99</v>
      </c>
      <c r="V21" s="9" t="s">
        <v>61</v>
      </c>
      <c r="W21" s="8">
        <v>15</v>
      </c>
      <c r="X21" s="8" t="s">
        <v>99</v>
      </c>
      <c r="Y21" s="9" t="s">
        <v>61</v>
      </c>
      <c r="Z21" s="33"/>
      <c r="AB21" s="9"/>
    </row>
    <row r="22" spans="1:29" s="8" customFormat="1" x14ac:dyDescent="0.2">
      <c r="A22" s="8" t="s">
        <v>249</v>
      </c>
      <c r="B22" s="8">
        <v>13</v>
      </c>
      <c r="C22" s="9" t="s">
        <v>21</v>
      </c>
      <c r="D22" s="8">
        <v>100</v>
      </c>
      <c r="E22" s="8">
        <v>330</v>
      </c>
      <c r="F22" s="8" t="s">
        <v>57</v>
      </c>
      <c r="G22" s="9" t="s">
        <v>61</v>
      </c>
      <c r="H22" s="8">
        <v>128</v>
      </c>
      <c r="I22" s="8" t="s">
        <v>99</v>
      </c>
      <c r="J22" s="9" t="s">
        <v>61</v>
      </c>
      <c r="T22" s="8">
        <v>3280</v>
      </c>
      <c r="U22" s="8" t="s">
        <v>99</v>
      </c>
      <c r="V22" s="9" t="s">
        <v>61</v>
      </c>
      <c r="W22" s="8">
        <v>14</v>
      </c>
      <c r="X22" s="8" t="s">
        <v>99</v>
      </c>
      <c r="Y22" s="9" t="s">
        <v>61</v>
      </c>
      <c r="Z22" s="34" t="s">
        <v>251</v>
      </c>
      <c r="AA22" s="8" t="s">
        <v>99</v>
      </c>
      <c r="AB22" s="9" t="s">
        <v>61</v>
      </c>
      <c r="AC22" s="8" t="s">
        <v>252</v>
      </c>
    </row>
    <row r="23" spans="1:29" s="8" customFormat="1" x14ac:dyDescent="0.2">
      <c r="A23" s="8" t="s">
        <v>249</v>
      </c>
      <c r="B23" s="8">
        <v>17</v>
      </c>
      <c r="C23" s="9" t="s">
        <v>21</v>
      </c>
      <c r="D23" s="8">
        <v>60</v>
      </c>
      <c r="E23" s="8">
        <v>331</v>
      </c>
      <c r="F23" s="8" t="s">
        <v>57</v>
      </c>
      <c r="G23" s="9" t="s">
        <v>61</v>
      </c>
      <c r="H23" s="8">
        <v>129</v>
      </c>
      <c r="I23" s="8" t="s">
        <v>99</v>
      </c>
      <c r="J23" s="9" t="s">
        <v>61</v>
      </c>
      <c r="T23" s="8">
        <v>3281</v>
      </c>
      <c r="U23" s="8" t="s">
        <v>99</v>
      </c>
      <c r="V23" s="9" t="s">
        <v>61</v>
      </c>
      <c r="W23" s="8">
        <v>13</v>
      </c>
      <c r="X23" s="8" t="s">
        <v>99</v>
      </c>
      <c r="Y23" s="9" t="s">
        <v>61</v>
      </c>
      <c r="Z23" s="34" t="s">
        <v>254</v>
      </c>
      <c r="AA23" s="8" t="s">
        <v>99</v>
      </c>
      <c r="AB23" s="9" t="s">
        <v>61</v>
      </c>
      <c r="AC23" s="8" t="s">
        <v>252</v>
      </c>
    </row>
    <row r="24" spans="1:29" s="8" customFormat="1" x14ac:dyDescent="0.2">
      <c r="A24" s="8" t="s">
        <v>249</v>
      </c>
      <c r="B24" s="8">
        <v>19</v>
      </c>
      <c r="C24" s="9" t="s">
        <v>50</v>
      </c>
      <c r="D24" s="8">
        <v>40</v>
      </c>
      <c r="G24" s="9"/>
      <c r="H24" s="8">
        <v>130</v>
      </c>
      <c r="I24" s="8" t="s">
        <v>99</v>
      </c>
      <c r="J24" s="9" t="s">
        <v>61</v>
      </c>
      <c r="T24" s="8">
        <v>3282</v>
      </c>
      <c r="U24" s="8" t="s">
        <v>99</v>
      </c>
      <c r="V24" s="9" t="s">
        <v>61</v>
      </c>
      <c r="Y24" s="9"/>
      <c r="Z24" s="34" t="s">
        <v>253</v>
      </c>
      <c r="AA24" s="8" t="s">
        <v>99</v>
      </c>
      <c r="AB24" s="9" t="s">
        <v>61</v>
      </c>
    </row>
    <row r="25" spans="1:29" s="8" customFormat="1" x14ac:dyDescent="0.2">
      <c r="A25" s="8" t="s">
        <v>249</v>
      </c>
      <c r="B25" s="8">
        <v>21</v>
      </c>
      <c r="C25" s="9" t="s">
        <v>50</v>
      </c>
      <c r="D25" s="8">
        <v>20</v>
      </c>
      <c r="G25" s="9"/>
      <c r="H25" s="8">
        <v>131</v>
      </c>
      <c r="I25" s="8" t="s">
        <v>99</v>
      </c>
      <c r="J25" s="9" t="s">
        <v>61</v>
      </c>
      <c r="T25" s="8">
        <v>3283</v>
      </c>
      <c r="U25" s="8" t="s">
        <v>99</v>
      </c>
      <c r="V25" s="9" t="s">
        <v>61</v>
      </c>
      <c r="W25" s="8">
        <v>12</v>
      </c>
      <c r="X25" s="8" t="s">
        <v>99</v>
      </c>
      <c r="Y25" s="9" t="s">
        <v>61</v>
      </c>
      <c r="Z25" s="33" t="s">
        <v>255</v>
      </c>
      <c r="AA25" s="8" t="s">
        <v>99</v>
      </c>
      <c r="AB25" s="9" t="s">
        <v>61</v>
      </c>
    </row>
    <row r="26" spans="1:29" s="8" customFormat="1" x14ac:dyDescent="0.2">
      <c r="A26" s="8" t="s">
        <v>249</v>
      </c>
      <c r="B26" s="8">
        <v>22</v>
      </c>
      <c r="C26" s="9" t="s">
        <v>50</v>
      </c>
      <c r="D26" s="8">
        <v>20</v>
      </c>
      <c r="E26" s="8">
        <v>332</v>
      </c>
      <c r="F26" s="8" t="s">
        <v>57</v>
      </c>
      <c r="G26" s="9" t="s">
        <v>62</v>
      </c>
      <c r="J26" s="9"/>
      <c r="V26" s="9"/>
      <c r="Y26" s="9"/>
      <c r="Z26" s="34"/>
      <c r="AB26" s="9"/>
    </row>
    <row r="27" spans="1:29" s="8" customFormat="1" x14ac:dyDescent="0.2">
      <c r="A27" s="8" t="s">
        <v>249</v>
      </c>
      <c r="B27" s="8">
        <v>22</v>
      </c>
      <c r="C27" s="9" t="s">
        <v>50</v>
      </c>
      <c r="D27" s="8">
        <v>20</v>
      </c>
      <c r="E27" s="8">
        <v>335</v>
      </c>
      <c r="F27" s="8" t="s">
        <v>57</v>
      </c>
      <c r="G27" s="9" t="s">
        <v>62</v>
      </c>
      <c r="J27" s="9"/>
      <c r="V27" s="9"/>
      <c r="Y27" s="9"/>
      <c r="Z27" s="34"/>
      <c r="AB27" s="9"/>
    </row>
    <row r="28" spans="1:29" s="8" customFormat="1" x14ac:dyDescent="0.2">
      <c r="A28" s="8" t="s">
        <v>249</v>
      </c>
      <c r="B28" s="8">
        <v>23</v>
      </c>
      <c r="C28" s="9" t="s">
        <v>50</v>
      </c>
      <c r="D28" s="8">
        <v>20</v>
      </c>
      <c r="G28" s="9"/>
      <c r="H28" s="8">
        <v>132</v>
      </c>
      <c r="I28" s="8" t="s">
        <v>99</v>
      </c>
      <c r="J28" s="9" t="s">
        <v>61</v>
      </c>
      <c r="T28" s="8">
        <v>3284</v>
      </c>
      <c r="U28" s="8" t="s">
        <v>99</v>
      </c>
      <c r="V28" s="9" t="s">
        <v>61</v>
      </c>
      <c r="Y28" s="9"/>
      <c r="Z28" s="33"/>
      <c r="AB28" s="9"/>
    </row>
    <row r="29" spans="1:29" s="8" customFormat="1" x14ac:dyDescent="0.2">
      <c r="A29" s="8" t="s">
        <v>256</v>
      </c>
      <c r="B29" s="8" t="s">
        <v>137</v>
      </c>
      <c r="C29" s="9" t="s">
        <v>50</v>
      </c>
      <c r="D29" s="8">
        <v>2606</v>
      </c>
      <c r="E29" s="8">
        <v>324</v>
      </c>
      <c r="F29" s="8" t="s">
        <v>57</v>
      </c>
      <c r="G29" s="9" t="s">
        <v>62</v>
      </c>
      <c r="J29" s="9"/>
      <c r="V29" s="9"/>
      <c r="W29" s="8">
        <v>18</v>
      </c>
      <c r="X29" s="8" t="s">
        <v>99</v>
      </c>
      <c r="Y29" s="9" t="s">
        <v>61</v>
      </c>
      <c r="Z29" s="33"/>
      <c r="AB29" s="9"/>
    </row>
    <row r="30" spans="1:29" s="8" customFormat="1" x14ac:dyDescent="0.2">
      <c r="A30" s="8" t="s">
        <v>256</v>
      </c>
      <c r="B30" s="8" t="s">
        <v>137</v>
      </c>
      <c r="C30" s="9" t="s">
        <v>50</v>
      </c>
      <c r="D30" s="8">
        <v>2606</v>
      </c>
      <c r="E30" s="8">
        <v>325</v>
      </c>
      <c r="F30" s="8" t="s">
        <v>57</v>
      </c>
      <c r="G30" s="9" t="s">
        <v>62</v>
      </c>
      <c r="J30" s="9"/>
      <c r="V30" s="9"/>
      <c r="Y30" s="9"/>
      <c r="Z30" s="34"/>
      <c r="AB30" s="9"/>
    </row>
    <row r="31" spans="1:29" s="8" customFormat="1" x14ac:dyDescent="0.2">
      <c r="A31" s="8" t="s">
        <v>256</v>
      </c>
      <c r="B31" s="8" t="s">
        <v>135</v>
      </c>
      <c r="C31" s="9" t="s">
        <v>258</v>
      </c>
      <c r="D31" s="8">
        <v>2606</v>
      </c>
      <c r="E31" s="8">
        <v>322</v>
      </c>
      <c r="F31" s="8" t="s">
        <v>57</v>
      </c>
      <c r="G31" s="9" t="s">
        <v>61</v>
      </c>
      <c r="J31" s="9"/>
      <c r="V31" s="9"/>
      <c r="Y31" s="9"/>
      <c r="Z31" s="33"/>
      <c r="AB31" s="9"/>
    </row>
    <row r="32" spans="1:29" s="8" customFormat="1" x14ac:dyDescent="0.2">
      <c r="A32" s="8" t="s">
        <v>264</v>
      </c>
      <c r="B32" s="8">
        <v>1</v>
      </c>
      <c r="C32" s="9" t="s">
        <v>50</v>
      </c>
      <c r="D32" s="8">
        <v>220</v>
      </c>
      <c r="E32" s="8">
        <v>313</v>
      </c>
      <c r="F32" s="8" t="s">
        <v>57</v>
      </c>
      <c r="G32" s="9" t="s">
        <v>61</v>
      </c>
      <c r="H32" s="8">
        <v>112</v>
      </c>
      <c r="I32" s="8" t="s">
        <v>99</v>
      </c>
      <c r="J32" s="9" t="s">
        <v>61</v>
      </c>
      <c r="T32" s="8">
        <v>3285</v>
      </c>
      <c r="U32" s="8" t="s">
        <v>99</v>
      </c>
      <c r="V32" s="9" t="s">
        <v>61</v>
      </c>
      <c r="Y32" s="9"/>
      <c r="Z32" s="33"/>
      <c r="AB32" s="9"/>
    </row>
    <row r="33" spans="1:28" s="8" customFormat="1" x14ac:dyDescent="0.2">
      <c r="A33" s="8" t="s">
        <v>264</v>
      </c>
      <c r="B33" s="8">
        <v>3</v>
      </c>
      <c r="C33" s="9" t="s">
        <v>50</v>
      </c>
      <c r="D33" s="8">
        <v>200</v>
      </c>
      <c r="G33" s="9"/>
      <c r="H33" s="8">
        <v>114</v>
      </c>
      <c r="I33" s="8" t="s">
        <v>99</v>
      </c>
      <c r="J33" s="9" t="s">
        <v>61</v>
      </c>
      <c r="T33" s="8">
        <v>3286</v>
      </c>
      <c r="U33" s="8" t="s">
        <v>99</v>
      </c>
      <c r="V33" s="9" t="s">
        <v>61</v>
      </c>
      <c r="W33" s="8">
        <v>11</v>
      </c>
      <c r="X33" s="8" t="s">
        <v>99</v>
      </c>
      <c r="Y33" s="9" t="s">
        <v>61</v>
      </c>
      <c r="Z33" s="33"/>
      <c r="AB33" s="9"/>
    </row>
    <row r="34" spans="1:28" s="8" customFormat="1" x14ac:dyDescent="0.2">
      <c r="A34" s="8" t="s">
        <v>264</v>
      </c>
      <c r="B34" s="8">
        <v>5</v>
      </c>
      <c r="C34" s="8" t="s">
        <v>50</v>
      </c>
      <c r="D34" s="8">
        <v>180</v>
      </c>
      <c r="G34" s="9"/>
      <c r="H34" s="8">
        <v>115</v>
      </c>
      <c r="I34" s="8" t="s">
        <v>99</v>
      </c>
      <c r="J34" s="9" t="s">
        <v>61</v>
      </c>
      <c r="T34" s="8">
        <v>3287</v>
      </c>
      <c r="U34" s="8" t="s">
        <v>99</v>
      </c>
      <c r="V34" s="9" t="s">
        <v>61</v>
      </c>
      <c r="Y34" s="9"/>
      <c r="Z34" s="33"/>
      <c r="AB34" s="9"/>
    </row>
    <row r="35" spans="1:28" s="8" customFormat="1" x14ac:dyDescent="0.2">
      <c r="A35" s="8" t="s">
        <v>264</v>
      </c>
      <c r="B35" s="8">
        <v>7</v>
      </c>
      <c r="C35" s="9" t="s">
        <v>50</v>
      </c>
      <c r="D35" s="8">
        <v>160</v>
      </c>
      <c r="E35" s="8">
        <v>314</v>
      </c>
      <c r="F35" s="8" t="s">
        <v>57</v>
      </c>
      <c r="G35" s="9" t="s">
        <v>61</v>
      </c>
      <c r="H35" s="8">
        <v>116</v>
      </c>
      <c r="I35" s="8" t="s">
        <v>99</v>
      </c>
      <c r="J35" s="9" t="s">
        <v>61</v>
      </c>
      <c r="T35" s="8">
        <v>3288</v>
      </c>
      <c r="U35" s="8" t="s">
        <v>99</v>
      </c>
      <c r="V35" s="9" t="s">
        <v>61</v>
      </c>
      <c r="W35" s="8">
        <v>10</v>
      </c>
      <c r="X35" s="8" t="s">
        <v>99</v>
      </c>
      <c r="Y35" s="9" t="s">
        <v>61</v>
      </c>
      <c r="Z35" s="34"/>
      <c r="AB35" s="9"/>
    </row>
    <row r="36" spans="1:28" s="8" customFormat="1" x14ac:dyDescent="0.2">
      <c r="A36" s="8" t="s">
        <v>264</v>
      </c>
      <c r="B36" s="8">
        <v>9</v>
      </c>
      <c r="C36" s="9" t="s">
        <v>50</v>
      </c>
      <c r="D36" s="8">
        <v>140</v>
      </c>
      <c r="G36" s="9"/>
      <c r="H36" s="8">
        <v>117</v>
      </c>
      <c r="I36" s="8" t="s">
        <v>99</v>
      </c>
      <c r="J36" s="9" t="s">
        <v>61</v>
      </c>
      <c r="T36" s="8">
        <v>3289</v>
      </c>
      <c r="U36" s="8" t="s">
        <v>99</v>
      </c>
      <c r="V36" s="9" t="s">
        <v>61</v>
      </c>
      <c r="Y36" s="9"/>
      <c r="Z36" s="33"/>
      <c r="AB36" s="9"/>
    </row>
    <row r="37" spans="1:28" s="8" customFormat="1" x14ac:dyDescent="0.2">
      <c r="A37" s="8" t="s">
        <v>264</v>
      </c>
      <c r="B37" s="8">
        <v>11</v>
      </c>
      <c r="C37" s="9" t="s">
        <v>50</v>
      </c>
      <c r="D37" s="8">
        <v>120</v>
      </c>
      <c r="E37" s="8">
        <v>315</v>
      </c>
      <c r="F37" s="8" t="s">
        <v>57</v>
      </c>
      <c r="G37" s="9" t="s">
        <v>62</v>
      </c>
      <c r="H37" s="8">
        <v>118</v>
      </c>
      <c r="I37" s="8" t="s">
        <v>99</v>
      </c>
      <c r="J37" s="9" t="s">
        <v>61</v>
      </c>
      <c r="T37" s="8">
        <v>3290</v>
      </c>
      <c r="U37" s="8" t="s">
        <v>99</v>
      </c>
      <c r="V37" s="9" t="s">
        <v>61</v>
      </c>
      <c r="W37" s="8">
        <v>9</v>
      </c>
      <c r="X37" s="8" t="s">
        <v>99</v>
      </c>
      <c r="Y37" s="9" t="s">
        <v>61</v>
      </c>
      <c r="Z37" s="34"/>
      <c r="AB37" s="9"/>
    </row>
    <row r="38" spans="1:28" s="8" customFormat="1" x14ac:dyDescent="0.2">
      <c r="A38" s="8" t="s">
        <v>264</v>
      </c>
      <c r="B38" s="8">
        <v>11</v>
      </c>
      <c r="C38" s="9" t="s">
        <v>50</v>
      </c>
      <c r="D38" s="8">
        <v>120</v>
      </c>
      <c r="E38" s="8">
        <v>319</v>
      </c>
      <c r="F38" s="8" t="s">
        <v>57</v>
      </c>
      <c r="G38" s="9" t="s">
        <v>62</v>
      </c>
      <c r="J38" s="9"/>
      <c r="V38" s="9"/>
      <c r="Y38" s="9"/>
      <c r="Z38" s="34"/>
      <c r="AB38" s="9"/>
    </row>
    <row r="39" spans="1:28" s="8" customFormat="1" x14ac:dyDescent="0.2">
      <c r="A39" s="8" t="s">
        <v>264</v>
      </c>
      <c r="B39" s="8">
        <v>14</v>
      </c>
      <c r="C39" s="9" t="s">
        <v>50</v>
      </c>
      <c r="D39" s="8">
        <v>100</v>
      </c>
      <c r="E39" s="8">
        <v>316</v>
      </c>
      <c r="F39" s="8" t="s">
        <v>57</v>
      </c>
      <c r="G39" s="9" t="s">
        <v>61</v>
      </c>
      <c r="H39" s="8">
        <v>119</v>
      </c>
      <c r="I39" s="8" t="s">
        <v>99</v>
      </c>
      <c r="J39" s="9" t="s">
        <v>61</v>
      </c>
      <c r="T39" s="8">
        <v>3291</v>
      </c>
      <c r="U39" s="8" t="s">
        <v>99</v>
      </c>
      <c r="V39" s="9" t="s">
        <v>61</v>
      </c>
      <c r="Y39" s="9"/>
      <c r="Z39" s="33" t="s">
        <v>266</v>
      </c>
      <c r="AA39" s="8" t="s">
        <v>99</v>
      </c>
      <c r="AB39" s="9" t="s">
        <v>61</v>
      </c>
    </row>
    <row r="40" spans="1:28" s="8" customFormat="1" x14ac:dyDescent="0.2">
      <c r="A40" s="8" t="s">
        <v>264</v>
      </c>
      <c r="B40" s="8">
        <v>15</v>
      </c>
      <c r="C40" s="9" t="s">
        <v>50</v>
      </c>
      <c r="D40" s="8">
        <v>80</v>
      </c>
      <c r="G40" s="9"/>
      <c r="H40" s="8">
        <v>120</v>
      </c>
      <c r="I40" s="8" t="s">
        <v>99</v>
      </c>
      <c r="J40" s="9" t="s">
        <v>61</v>
      </c>
      <c r="T40" s="8">
        <v>3292</v>
      </c>
      <c r="U40" s="8" t="s">
        <v>99</v>
      </c>
      <c r="V40" s="9" t="s">
        <v>61</v>
      </c>
      <c r="W40" s="8">
        <v>8</v>
      </c>
      <c r="X40" s="8" t="s">
        <v>99</v>
      </c>
      <c r="Y40" s="9" t="s">
        <v>61</v>
      </c>
      <c r="Z40" s="33" t="s">
        <v>267</v>
      </c>
      <c r="AA40" s="8" t="s">
        <v>99</v>
      </c>
      <c r="AB40" s="9" t="s">
        <v>61</v>
      </c>
    </row>
    <row r="41" spans="1:28" s="8" customFormat="1" x14ac:dyDescent="0.2">
      <c r="A41" s="8" t="s">
        <v>264</v>
      </c>
      <c r="B41" s="8">
        <v>17</v>
      </c>
      <c r="C41" s="9" t="s">
        <v>50</v>
      </c>
      <c r="D41" s="8">
        <v>60</v>
      </c>
      <c r="E41" s="8">
        <v>317</v>
      </c>
      <c r="F41" s="8" t="s">
        <v>57</v>
      </c>
      <c r="G41" s="9" t="s">
        <v>61</v>
      </c>
      <c r="H41" s="8">
        <v>121</v>
      </c>
      <c r="I41" s="8" t="s">
        <v>99</v>
      </c>
      <c r="J41" s="9" t="s">
        <v>61</v>
      </c>
      <c r="T41" s="8">
        <v>3293</v>
      </c>
      <c r="U41" s="8" t="s">
        <v>99</v>
      </c>
      <c r="V41" s="9" t="s">
        <v>61</v>
      </c>
      <c r="Y41" s="9"/>
      <c r="Z41" s="33" t="s">
        <v>268</v>
      </c>
      <c r="AA41" s="8" t="s">
        <v>99</v>
      </c>
      <c r="AB41" s="9" t="s">
        <v>61</v>
      </c>
    </row>
    <row r="42" spans="1:28" s="8" customFormat="1" x14ac:dyDescent="0.2">
      <c r="A42" s="8" t="s">
        <v>264</v>
      </c>
      <c r="B42" s="8">
        <v>19</v>
      </c>
      <c r="C42" s="9" t="s">
        <v>50</v>
      </c>
      <c r="D42" s="8">
        <v>40</v>
      </c>
      <c r="E42" s="8">
        <v>318</v>
      </c>
      <c r="F42" s="8" t="s">
        <v>57</v>
      </c>
      <c r="G42" s="9" t="s">
        <v>61</v>
      </c>
      <c r="H42" s="8">
        <v>122</v>
      </c>
      <c r="I42" s="8" t="s">
        <v>99</v>
      </c>
      <c r="J42" s="9" t="s">
        <v>61</v>
      </c>
      <c r="T42" s="8">
        <v>3294</v>
      </c>
      <c r="U42" s="8" t="s">
        <v>99</v>
      </c>
      <c r="V42" s="9" t="s">
        <v>61</v>
      </c>
      <c r="W42" s="8">
        <v>7</v>
      </c>
      <c r="X42" s="8" t="s">
        <v>99</v>
      </c>
      <c r="Y42" s="9" t="s">
        <v>61</v>
      </c>
      <c r="Z42" s="33" t="s">
        <v>269</v>
      </c>
      <c r="AA42" s="8" t="s">
        <v>99</v>
      </c>
      <c r="AB42" s="9" t="s">
        <v>61</v>
      </c>
    </row>
    <row r="43" spans="1:28" s="8" customFormat="1" x14ac:dyDescent="0.2">
      <c r="A43" s="8" t="s">
        <v>264</v>
      </c>
      <c r="B43" s="8">
        <v>20</v>
      </c>
      <c r="C43" s="9" t="s">
        <v>50</v>
      </c>
      <c r="D43" s="8">
        <v>40</v>
      </c>
      <c r="G43" s="9"/>
      <c r="J43" s="9"/>
      <c r="V43" s="9"/>
      <c r="Y43" s="9"/>
      <c r="Z43" s="33" t="s">
        <v>270</v>
      </c>
      <c r="AA43" s="8" t="s">
        <v>99</v>
      </c>
      <c r="AB43" s="9" t="s">
        <v>61</v>
      </c>
    </row>
    <row r="44" spans="1:28" s="8" customFormat="1" x14ac:dyDescent="0.2">
      <c r="A44" s="8" t="s">
        <v>264</v>
      </c>
      <c r="B44" s="8">
        <v>21</v>
      </c>
      <c r="C44" s="9" t="s">
        <v>50</v>
      </c>
      <c r="D44" s="8">
        <v>20</v>
      </c>
      <c r="E44" s="8">
        <v>320</v>
      </c>
      <c r="F44" s="8" t="s">
        <v>57</v>
      </c>
      <c r="G44" s="9" t="s">
        <v>61</v>
      </c>
      <c r="H44" s="8">
        <v>123</v>
      </c>
      <c r="I44" s="8" t="s">
        <v>99</v>
      </c>
      <c r="J44" s="9" t="s">
        <v>61</v>
      </c>
      <c r="T44" s="8">
        <v>3295</v>
      </c>
      <c r="U44" s="8" t="s">
        <v>99</v>
      </c>
      <c r="V44" s="9" t="s">
        <v>61</v>
      </c>
      <c r="Y44" s="9"/>
      <c r="Z44" s="33" t="s">
        <v>271</v>
      </c>
      <c r="AA44" s="8" t="s">
        <v>99</v>
      </c>
      <c r="AB44" s="9" t="s">
        <v>61</v>
      </c>
    </row>
    <row r="45" spans="1:28" s="8" customFormat="1" x14ac:dyDescent="0.2">
      <c r="A45" s="8" t="s">
        <v>264</v>
      </c>
      <c r="B45" s="8">
        <v>23</v>
      </c>
      <c r="C45" s="9" t="s">
        <v>50</v>
      </c>
      <c r="D45" s="8">
        <v>10</v>
      </c>
      <c r="E45" s="8">
        <v>321</v>
      </c>
      <c r="F45" s="8" t="s">
        <v>57</v>
      </c>
      <c r="G45" s="9" t="s">
        <v>61</v>
      </c>
      <c r="H45" s="8">
        <v>124</v>
      </c>
      <c r="I45" s="8" t="s">
        <v>99</v>
      </c>
      <c r="J45" s="9" t="s">
        <v>61</v>
      </c>
      <c r="T45" s="8">
        <v>3296</v>
      </c>
      <c r="U45" s="8" t="s">
        <v>99</v>
      </c>
      <c r="V45" s="9" t="s">
        <v>61</v>
      </c>
      <c r="W45" s="8">
        <v>6</v>
      </c>
      <c r="X45" s="8" t="s">
        <v>99</v>
      </c>
      <c r="Y45" s="9" t="s">
        <v>61</v>
      </c>
      <c r="Z45" s="33" t="s">
        <v>272</v>
      </c>
      <c r="AA45" s="8" t="s">
        <v>99</v>
      </c>
      <c r="AB45" s="9" t="s">
        <v>61</v>
      </c>
    </row>
    <row r="46" spans="1:28" x14ac:dyDescent="0.2">
      <c r="A46" t="s">
        <v>279</v>
      </c>
      <c r="B46" s="8" t="s">
        <v>137</v>
      </c>
      <c r="C46" s="9" t="s">
        <v>50</v>
      </c>
      <c r="D46" s="8">
        <v>2900</v>
      </c>
      <c r="E46">
        <v>333</v>
      </c>
      <c r="F46" t="s">
        <v>57</v>
      </c>
      <c r="G46" s="5" t="s">
        <v>62</v>
      </c>
      <c r="J46" s="5"/>
      <c r="V46" s="5"/>
      <c r="W46">
        <v>5</v>
      </c>
      <c r="X46" t="s">
        <v>99</v>
      </c>
      <c r="Y46" s="5" t="s">
        <v>61</v>
      </c>
      <c r="Z46" s="24"/>
      <c r="AB46" s="5"/>
    </row>
    <row r="47" spans="1:28" x14ac:dyDescent="0.2">
      <c r="A47" t="s">
        <v>279</v>
      </c>
      <c r="B47" s="8" t="s">
        <v>137</v>
      </c>
      <c r="C47" s="9" t="s">
        <v>50</v>
      </c>
      <c r="D47" s="8">
        <v>2900</v>
      </c>
      <c r="E47">
        <v>334</v>
      </c>
      <c r="F47" t="s">
        <v>57</v>
      </c>
      <c r="G47" s="5" t="s">
        <v>62</v>
      </c>
      <c r="J47" s="5"/>
      <c r="V47" s="5"/>
      <c r="Y47" s="5"/>
      <c r="Z47" s="26"/>
      <c r="AB47" s="5"/>
    </row>
    <row r="48" spans="1:28" x14ac:dyDescent="0.2">
      <c r="A48" t="s">
        <v>279</v>
      </c>
      <c r="B48" s="8" t="s">
        <v>135</v>
      </c>
      <c r="C48" s="9" t="s">
        <v>50</v>
      </c>
      <c r="D48" s="8">
        <v>2900</v>
      </c>
      <c r="E48">
        <v>323</v>
      </c>
      <c r="F48" t="s">
        <v>57</v>
      </c>
      <c r="G48" s="5" t="s">
        <v>62</v>
      </c>
      <c r="J48" s="5"/>
      <c r="V48" s="5"/>
      <c r="W48">
        <v>4</v>
      </c>
      <c r="X48" t="s">
        <v>99</v>
      </c>
      <c r="Y48" s="5" t="s">
        <v>61</v>
      </c>
      <c r="Z48" s="26"/>
      <c r="AB48" s="5"/>
    </row>
    <row r="49" spans="1:29" x14ac:dyDescent="0.2">
      <c r="A49" t="s">
        <v>279</v>
      </c>
      <c r="B49" s="8" t="s">
        <v>135</v>
      </c>
      <c r="C49" s="9" t="s">
        <v>50</v>
      </c>
      <c r="D49" s="8">
        <v>2900</v>
      </c>
      <c r="E49">
        <v>336</v>
      </c>
      <c r="F49" t="s">
        <v>57</v>
      </c>
      <c r="G49" s="5" t="s">
        <v>62</v>
      </c>
      <c r="J49" s="5"/>
      <c r="V49" s="5"/>
      <c r="Y49" s="5"/>
      <c r="Z49" s="24"/>
      <c r="AB49" s="5"/>
    </row>
    <row r="50" spans="1:29" x14ac:dyDescent="0.2">
      <c r="A50" t="s">
        <v>292</v>
      </c>
      <c r="B50" s="8">
        <v>1</v>
      </c>
      <c r="C50" s="9" t="s">
        <v>50</v>
      </c>
      <c r="D50" s="8">
        <v>560</v>
      </c>
      <c r="G50" s="5"/>
      <c r="J50" s="5"/>
      <c r="V50" s="5"/>
      <c r="W50">
        <v>361</v>
      </c>
      <c r="X50" t="s">
        <v>99</v>
      </c>
      <c r="Y50" s="5" t="s">
        <v>61</v>
      </c>
      <c r="Z50" s="26" t="s">
        <v>294</v>
      </c>
      <c r="AA50" t="s">
        <v>99</v>
      </c>
      <c r="AB50" s="5" t="s">
        <v>61</v>
      </c>
    </row>
    <row r="51" spans="1:29" x14ac:dyDescent="0.2">
      <c r="A51" t="s">
        <v>292</v>
      </c>
      <c r="B51" s="8">
        <v>2</v>
      </c>
      <c r="C51" s="9" t="s">
        <v>50</v>
      </c>
      <c r="D51" s="8">
        <v>560</v>
      </c>
      <c r="G51" s="5"/>
      <c r="J51" s="5"/>
      <c r="V51" s="5"/>
      <c r="W51">
        <v>362</v>
      </c>
      <c r="X51" t="s">
        <v>99</v>
      </c>
      <c r="Y51" s="5" t="s">
        <v>61</v>
      </c>
      <c r="Z51" s="26"/>
      <c r="AB51" s="5"/>
    </row>
    <row r="52" spans="1:29" x14ac:dyDescent="0.2">
      <c r="A52" t="s">
        <v>292</v>
      </c>
      <c r="B52" s="8">
        <v>3</v>
      </c>
      <c r="C52" s="9" t="s">
        <v>50</v>
      </c>
      <c r="D52" s="8">
        <v>400</v>
      </c>
      <c r="F52" s="8"/>
      <c r="G52" s="5"/>
      <c r="J52" s="5"/>
      <c r="V52" s="5"/>
      <c r="W52">
        <v>365</v>
      </c>
      <c r="X52" t="s">
        <v>99</v>
      </c>
      <c r="Y52" s="5" t="s">
        <v>61</v>
      </c>
      <c r="Z52" s="26" t="s">
        <v>295</v>
      </c>
      <c r="AA52" t="s">
        <v>99</v>
      </c>
      <c r="AB52" s="5" t="s">
        <v>61</v>
      </c>
    </row>
    <row r="53" spans="1:29" x14ac:dyDescent="0.2">
      <c r="A53" t="s">
        <v>292</v>
      </c>
      <c r="B53" s="8">
        <v>5</v>
      </c>
      <c r="C53" s="9" t="s">
        <v>50</v>
      </c>
      <c r="D53" s="8">
        <v>200</v>
      </c>
      <c r="E53">
        <v>315</v>
      </c>
      <c r="F53" t="s">
        <v>363</v>
      </c>
      <c r="G53" s="5" t="s">
        <v>61</v>
      </c>
      <c r="H53">
        <v>136</v>
      </c>
      <c r="I53" t="s">
        <v>99</v>
      </c>
      <c r="J53" s="5" t="s">
        <v>61</v>
      </c>
      <c r="T53">
        <v>3297</v>
      </c>
      <c r="U53" t="s">
        <v>99</v>
      </c>
      <c r="V53" s="5" t="s">
        <v>61</v>
      </c>
      <c r="W53">
        <v>363</v>
      </c>
      <c r="X53" t="s">
        <v>99</v>
      </c>
      <c r="Y53" s="5" t="s">
        <v>61</v>
      </c>
      <c r="Z53" s="26" t="s">
        <v>296</v>
      </c>
      <c r="AA53" t="s">
        <v>99</v>
      </c>
      <c r="AB53" s="5" t="s">
        <v>61</v>
      </c>
      <c r="AC53" t="s">
        <v>369</v>
      </c>
    </row>
    <row r="54" spans="1:29" x14ac:dyDescent="0.2">
      <c r="A54" t="s">
        <v>292</v>
      </c>
      <c r="B54" s="8">
        <v>7</v>
      </c>
      <c r="C54" s="9" t="s">
        <v>50</v>
      </c>
      <c r="D54" s="8">
        <v>180</v>
      </c>
      <c r="G54" s="5"/>
      <c r="H54">
        <v>135</v>
      </c>
      <c r="I54" t="s">
        <v>99</v>
      </c>
      <c r="J54" s="5" t="s">
        <v>61</v>
      </c>
      <c r="T54">
        <v>3298</v>
      </c>
      <c r="U54" t="s">
        <v>99</v>
      </c>
      <c r="V54" s="5" t="s">
        <v>61</v>
      </c>
      <c r="Y54" s="5"/>
      <c r="Z54" s="26"/>
      <c r="AB54" s="5"/>
    </row>
    <row r="55" spans="1:29" x14ac:dyDescent="0.2">
      <c r="A55" t="s">
        <v>292</v>
      </c>
      <c r="B55" s="8">
        <v>8</v>
      </c>
      <c r="C55" s="9" t="s">
        <v>50</v>
      </c>
      <c r="D55" s="8">
        <v>160</v>
      </c>
      <c r="G55" s="5"/>
      <c r="H55">
        <v>134</v>
      </c>
      <c r="I55" t="s">
        <v>99</v>
      </c>
      <c r="J55" s="5" t="s">
        <v>61</v>
      </c>
      <c r="T55">
        <v>3299</v>
      </c>
      <c r="U55" t="s">
        <v>99</v>
      </c>
      <c r="V55" s="5" t="s">
        <v>61</v>
      </c>
      <c r="Y55" s="5"/>
      <c r="Z55" s="24"/>
      <c r="AB55" s="5"/>
    </row>
    <row r="56" spans="1:29" x14ac:dyDescent="0.2">
      <c r="A56" t="s">
        <v>292</v>
      </c>
      <c r="B56" s="8">
        <v>9</v>
      </c>
      <c r="C56" s="9" t="s">
        <v>50</v>
      </c>
      <c r="D56" s="8">
        <v>140</v>
      </c>
      <c r="E56">
        <v>316</v>
      </c>
      <c r="F56" t="s">
        <v>57</v>
      </c>
      <c r="G56" s="5" t="s">
        <v>61</v>
      </c>
      <c r="H56">
        <v>133</v>
      </c>
      <c r="I56" t="s">
        <v>99</v>
      </c>
      <c r="J56" s="5" t="s">
        <v>61</v>
      </c>
      <c r="T56">
        <v>3300</v>
      </c>
      <c r="U56" t="s">
        <v>99</v>
      </c>
      <c r="V56" s="5" t="s">
        <v>61</v>
      </c>
      <c r="W56">
        <v>364</v>
      </c>
      <c r="X56" t="s">
        <v>99</v>
      </c>
      <c r="Y56" s="5" t="s">
        <v>61</v>
      </c>
      <c r="Z56" s="24"/>
      <c r="AB56" s="5"/>
    </row>
    <row r="57" spans="1:29" x14ac:dyDescent="0.2">
      <c r="A57" t="s">
        <v>292</v>
      </c>
      <c r="B57" s="8">
        <v>11</v>
      </c>
      <c r="C57" s="9" t="s">
        <v>50</v>
      </c>
      <c r="D57" s="8">
        <v>120</v>
      </c>
      <c r="G57" s="5"/>
      <c r="H57">
        <v>140</v>
      </c>
      <c r="I57" t="s">
        <v>99</v>
      </c>
      <c r="J57" s="5" t="s">
        <v>61</v>
      </c>
      <c r="T57">
        <v>3301</v>
      </c>
      <c r="U57" t="s">
        <v>99</v>
      </c>
      <c r="V57" s="5" t="s">
        <v>61</v>
      </c>
      <c r="Y57" s="5"/>
      <c r="Z57" s="24"/>
      <c r="AB57" s="5"/>
    </row>
    <row r="58" spans="1:29" x14ac:dyDescent="0.2">
      <c r="A58" t="s">
        <v>292</v>
      </c>
      <c r="B58" s="8">
        <v>13</v>
      </c>
      <c r="C58" s="9" t="s">
        <v>50</v>
      </c>
      <c r="D58" s="8">
        <v>100</v>
      </c>
      <c r="E58">
        <v>317</v>
      </c>
      <c r="F58" t="s">
        <v>57</v>
      </c>
      <c r="G58" s="5" t="s">
        <v>61</v>
      </c>
      <c r="H58">
        <v>139</v>
      </c>
      <c r="I58" t="s">
        <v>99</v>
      </c>
      <c r="J58" s="5" t="s">
        <v>61</v>
      </c>
      <c r="T58">
        <v>3302</v>
      </c>
      <c r="U58" t="s">
        <v>99</v>
      </c>
      <c r="V58" s="5" t="s">
        <v>61</v>
      </c>
      <c r="W58">
        <v>366</v>
      </c>
      <c r="X58" t="s">
        <v>99</v>
      </c>
      <c r="Y58" s="5" t="s">
        <v>61</v>
      </c>
      <c r="Z58" s="26" t="s">
        <v>297</v>
      </c>
      <c r="AA58" t="s">
        <v>99</v>
      </c>
      <c r="AB58" s="5" t="s">
        <v>61</v>
      </c>
    </row>
    <row r="59" spans="1:29" x14ac:dyDescent="0.2">
      <c r="A59" t="s">
        <v>292</v>
      </c>
      <c r="B59" s="8">
        <v>15</v>
      </c>
      <c r="C59" s="9" t="s">
        <v>50</v>
      </c>
      <c r="D59" s="8">
        <v>80</v>
      </c>
      <c r="G59" s="5"/>
      <c r="H59">
        <v>138</v>
      </c>
      <c r="I59" t="s">
        <v>99</v>
      </c>
      <c r="J59" s="5" t="s">
        <v>61</v>
      </c>
      <c r="T59">
        <v>3303</v>
      </c>
      <c r="U59" t="s">
        <v>99</v>
      </c>
      <c r="V59" s="5" t="s">
        <v>61</v>
      </c>
      <c r="Y59" s="5"/>
      <c r="Z59" s="26" t="s">
        <v>298</v>
      </c>
      <c r="AA59" t="s">
        <v>99</v>
      </c>
      <c r="AB59" s="5" t="s">
        <v>61</v>
      </c>
    </row>
    <row r="60" spans="1:29" x14ac:dyDescent="0.2">
      <c r="A60" t="s">
        <v>292</v>
      </c>
      <c r="B60" s="8">
        <v>18</v>
      </c>
      <c r="C60" s="9" t="s">
        <v>51</v>
      </c>
      <c r="D60" s="8">
        <v>60</v>
      </c>
      <c r="E60">
        <v>318</v>
      </c>
      <c r="F60" t="s">
        <v>57</v>
      </c>
      <c r="G60" s="5" t="s">
        <v>61</v>
      </c>
      <c r="H60">
        <v>137</v>
      </c>
      <c r="I60" t="s">
        <v>99</v>
      </c>
      <c r="J60" s="5" t="s">
        <v>61</v>
      </c>
      <c r="T60">
        <v>3304</v>
      </c>
      <c r="U60" t="s">
        <v>99</v>
      </c>
      <c r="V60" s="5" t="s">
        <v>61</v>
      </c>
      <c r="W60">
        <v>367</v>
      </c>
      <c r="X60" t="s">
        <v>99</v>
      </c>
      <c r="Y60" s="5" t="s">
        <v>61</v>
      </c>
      <c r="Z60" s="26" t="s">
        <v>299</v>
      </c>
      <c r="AA60" t="s">
        <v>99</v>
      </c>
      <c r="AB60" s="5" t="s">
        <v>61</v>
      </c>
      <c r="AC60" t="s">
        <v>356</v>
      </c>
    </row>
    <row r="61" spans="1:29" x14ac:dyDescent="0.2">
      <c r="A61" t="s">
        <v>292</v>
      </c>
      <c r="B61" s="8">
        <v>19</v>
      </c>
      <c r="C61" s="9" t="s">
        <v>50</v>
      </c>
      <c r="D61" s="8">
        <v>40</v>
      </c>
      <c r="G61" s="5"/>
      <c r="H61">
        <v>144</v>
      </c>
      <c r="I61" t="s">
        <v>99</v>
      </c>
      <c r="J61" s="5" t="s">
        <v>61</v>
      </c>
      <c r="T61">
        <v>3305</v>
      </c>
      <c r="U61" t="s">
        <v>99</v>
      </c>
      <c r="V61" s="5" t="s">
        <v>61</v>
      </c>
      <c r="Y61" s="5"/>
      <c r="Z61" s="26" t="s">
        <v>300</v>
      </c>
      <c r="AA61" t="s">
        <v>99</v>
      </c>
      <c r="AB61" s="5" t="s">
        <v>61</v>
      </c>
    </row>
    <row r="62" spans="1:29" x14ac:dyDescent="0.2">
      <c r="A62" t="s">
        <v>292</v>
      </c>
      <c r="B62" s="8">
        <v>21</v>
      </c>
      <c r="C62" s="9" t="s">
        <v>50</v>
      </c>
      <c r="D62" s="8">
        <v>20</v>
      </c>
      <c r="G62" s="5"/>
      <c r="H62">
        <v>143</v>
      </c>
      <c r="I62" t="s">
        <v>99</v>
      </c>
      <c r="J62" s="5" t="s">
        <v>61</v>
      </c>
      <c r="T62">
        <v>3306</v>
      </c>
      <c r="U62" t="s">
        <v>99</v>
      </c>
      <c r="V62" s="5" t="s">
        <v>61</v>
      </c>
      <c r="W62">
        <v>368</v>
      </c>
      <c r="X62" t="s">
        <v>99</v>
      </c>
      <c r="Y62" s="5" t="s">
        <v>61</v>
      </c>
      <c r="Z62" s="26" t="s">
        <v>301</v>
      </c>
      <c r="AA62" t="s">
        <v>99</v>
      </c>
      <c r="AB62" s="5" t="s">
        <v>61</v>
      </c>
    </row>
    <row r="63" spans="1:29" x14ac:dyDescent="0.2">
      <c r="A63" t="s">
        <v>292</v>
      </c>
      <c r="B63" s="8">
        <v>22</v>
      </c>
      <c r="C63" s="9" t="s">
        <v>50</v>
      </c>
      <c r="D63" s="8">
        <v>20</v>
      </c>
      <c r="E63">
        <v>319</v>
      </c>
      <c r="F63" t="s">
        <v>57</v>
      </c>
      <c r="G63" s="5" t="s">
        <v>62</v>
      </c>
      <c r="J63" s="5"/>
      <c r="V63" s="5"/>
      <c r="Y63" s="5"/>
      <c r="Z63" s="24"/>
      <c r="AB63" s="5"/>
    </row>
    <row r="64" spans="1:29" x14ac:dyDescent="0.2">
      <c r="A64" t="s">
        <v>292</v>
      </c>
      <c r="B64" s="8">
        <v>22</v>
      </c>
      <c r="C64" s="9" t="s">
        <v>50</v>
      </c>
      <c r="D64" s="8">
        <v>20</v>
      </c>
      <c r="E64">
        <v>320</v>
      </c>
      <c r="F64" t="s">
        <v>57</v>
      </c>
      <c r="G64" s="5" t="s">
        <v>62</v>
      </c>
      <c r="J64" s="5"/>
      <c r="V64" s="5"/>
      <c r="Y64" s="5"/>
      <c r="Z64" s="24"/>
      <c r="AB64" s="5"/>
    </row>
    <row r="65" spans="1:29" x14ac:dyDescent="0.2">
      <c r="A65" t="s">
        <v>292</v>
      </c>
      <c r="B65" s="8">
        <v>23</v>
      </c>
      <c r="C65" s="9" t="s">
        <v>50</v>
      </c>
      <c r="D65" s="8">
        <v>10</v>
      </c>
      <c r="G65" s="5"/>
      <c r="J65" s="5"/>
      <c r="T65">
        <v>3307</v>
      </c>
      <c r="U65" t="s">
        <v>99</v>
      </c>
      <c r="V65" s="5" t="s">
        <v>61</v>
      </c>
      <c r="Y65" s="5"/>
      <c r="Z65" s="26" t="s">
        <v>302</v>
      </c>
      <c r="AA65" t="s">
        <v>99</v>
      </c>
      <c r="AB65" s="5" t="s">
        <v>61</v>
      </c>
    </row>
    <row r="66" spans="1:29" x14ac:dyDescent="0.2">
      <c r="A66" t="s">
        <v>291</v>
      </c>
      <c r="B66" s="8" t="s">
        <v>135</v>
      </c>
      <c r="C66" s="9" t="s">
        <v>50</v>
      </c>
      <c r="D66" s="8">
        <v>2892</v>
      </c>
      <c r="E66">
        <v>313</v>
      </c>
      <c r="F66" t="s">
        <v>57</v>
      </c>
      <c r="G66" s="5" t="s">
        <v>61</v>
      </c>
      <c r="J66" s="5"/>
      <c r="V66" s="5"/>
      <c r="W66">
        <v>3</v>
      </c>
      <c r="X66" t="s">
        <v>99</v>
      </c>
      <c r="Y66" s="5" t="s">
        <v>61</v>
      </c>
      <c r="Z66" s="26" t="s">
        <v>303</v>
      </c>
      <c r="AA66" t="s">
        <v>99</v>
      </c>
      <c r="AB66" s="5" t="s">
        <v>61</v>
      </c>
    </row>
    <row r="67" spans="1:29" x14ac:dyDescent="0.2">
      <c r="A67" t="s">
        <v>291</v>
      </c>
      <c r="B67" s="8" t="s">
        <v>137</v>
      </c>
      <c r="C67" s="9" t="s">
        <v>50</v>
      </c>
      <c r="D67" s="8">
        <v>1500</v>
      </c>
      <c r="E67">
        <v>314</v>
      </c>
      <c r="F67" t="s">
        <v>57</v>
      </c>
      <c r="G67" s="5" t="s">
        <v>61</v>
      </c>
      <c r="J67" s="5"/>
      <c r="V67" s="5"/>
      <c r="W67">
        <v>2</v>
      </c>
      <c r="X67" t="s">
        <v>99</v>
      </c>
      <c r="Y67" s="5" t="s">
        <v>61</v>
      </c>
      <c r="Z67" s="26" t="s">
        <v>304</v>
      </c>
      <c r="AA67" t="s">
        <v>99</v>
      </c>
      <c r="AB67" s="5" t="s">
        <v>61</v>
      </c>
    </row>
    <row r="68" spans="1:29" x14ac:dyDescent="0.2">
      <c r="A68" t="s">
        <v>316</v>
      </c>
      <c r="B68" s="8">
        <v>1</v>
      </c>
      <c r="C68" s="9" t="s">
        <v>50</v>
      </c>
      <c r="D68" s="8">
        <v>2600</v>
      </c>
      <c r="G68" s="5"/>
      <c r="J68" s="5"/>
      <c r="V68" s="5"/>
      <c r="W68">
        <v>371</v>
      </c>
      <c r="X68" t="s">
        <v>99</v>
      </c>
      <c r="Y68" s="5" t="s">
        <v>61</v>
      </c>
      <c r="Z68" s="26" t="s">
        <v>317</v>
      </c>
      <c r="AA68" t="s">
        <v>357</v>
      </c>
      <c r="AB68" s="5" t="s">
        <v>61</v>
      </c>
    </row>
    <row r="69" spans="1:29" x14ac:dyDescent="0.2">
      <c r="A69" t="s">
        <v>316</v>
      </c>
      <c r="B69" s="8">
        <v>2</v>
      </c>
      <c r="C69" s="9" t="s">
        <v>50</v>
      </c>
      <c r="D69" s="8">
        <v>2600</v>
      </c>
      <c r="G69" s="5"/>
      <c r="J69" s="5"/>
      <c r="V69" s="5"/>
      <c r="Y69" s="5"/>
      <c r="Z69" s="26" t="s">
        <v>318</v>
      </c>
      <c r="AA69" t="s">
        <v>357</v>
      </c>
      <c r="AB69" s="5" t="s">
        <v>61</v>
      </c>
      <c r="AC69" t="s">
        <v>358</v>
      </c>
    </row>
    <row r="70" spans="1:29" x14ac:dyDescent="0.2">
      <c r="A70" t="s">
        <v>316</v>
      </c>
      <c r="B70" s="8">
        <v>3</v>
      </c>
      <c r="C70" s="9" t="s">
        <v>50</v>
      </c>
      <c r="D70" s="8">
        <v>2400</v>
      </c>
      <c r="E70">
        <v>321</v>
      </c>
      <c r="F70" t="s">
        <v>57</v>
      </c>
      <c r="G70" s="5" t="s">
        <v>62</v>
      </c>
      <c r="J70" s="5"/>
      <c r="V70" s="5"/>
      <c r="Y70" s="5"/>
      <c r="Z70" s="26"/>
      <c r="AB70" s="5"/>
    </row>
    <row r="71" spans="1:29" x14ac:dyDescent="0.2">
      <c r="A71" t="s">
        <v>316</v>
      </c>
      <c r="B71" s="8">
        <v>3</v>
      </c>
      <c r="C71" s="9" t="s">
        <v>50</v>
      </c>
      <c r="D71" s="8">
        <v>2400</v>
      </c>
      <c r="E71">
        <v>326</v>
      </c>
      <c r="F71" t="s">
        <v>57</v>
      </c>
      <c r="G71" s="5" t="s">
        <v>62</v>
      </c>
      <c r="J71" s="5"/>
      <c r="V71" s="5"/>
      <c r="Y71" s="5"/>
      <c r="Z71" s="26"/>
      <c r="AB71" s="5"/>
    </row>
    <row r="72" spans="1:29" x14ac:dyDescent="0.2">
      <c r="A72" t="s">
        <v>316</v>
      </c>
      <c r="B72" s="8">
        <v>5</v>
      </c>
      <c r="C72" s="9" t="s">
        <v>50</v>
      </c>
      <c r="D72" s="8">
        <v>2000</v>
      </c>
      <c r="E72">
        <v>322</v>
      </c>
      <c r="F72" t="s">
        <v>57</v>
      </c>
      <c r="G72" s="5" t="s">
        <v>61</v>
      </c>
      <c r="J72" s="5"/>
      <c r="V72" s="5"/>
      <c r="W72">
        <v>372</v>
      </c>
      <c r="X72" t="s">
        <v>99</v>
      </c>
      <c r="Y72" s="5" t="s">
        <v>61</v>
      </c>
      <c r="Z72" s="24"/>
      <c r="AB72" s="5"/>
    </row>
    <row r="73" spans="1:29" x14ac:dyDescent="0.2">
      <c r="A73" t="s">
        <v>316</v>
      </c>
      <c r="B73" s="8">
        <v>6</v>
      </c>
      <c r="C73" s="9" t="s">
        <v>50</v>
      </c>
      <c r="D73" s="8">
        <v>1500</v>
      </c>
      <c r="E73">
        <v>323</v>
      </c>
      <c r="F73" t="s">
        <v>57</v>
      </c>
      <c r="G73" s="5" t="s">
        <v>61</v>
      </c>
      <c r="J73" s="5"/>
      <c r="V73" s="5"/>
      <c r="W73">
        <v>377</v>
      </c>
      <c r="X73" t="s">
        <v>99</v>
      </c>
      <c r="Y73" s="5" t="s">
        <v>61</v>
      </c>
      <c r="Z73" s="26" t="s">
        <v>319</v>
      </c>
      <c r="AA73" t="s">
        <v>99</v>
      </c>
      <c r="AB73" s="5" t="s">
        <v>61</v>
      </c>
    </row>
    <row r="74" spans="1:29" x14ac:dyDescent="0.2">
      <c r="A74" t="s">
        <v>316</v>
      </c>
      <c r="B74" s="8">
        <v>8</v>
      </c>
      <c r="C74" s="9" t="s">
        <v>50</v>
      </c>
      <c r="D74" s="8">
        <v>900</v>
      </c>
      <c r="E74">
        <v>324</v>
      </c>
      <c r="F74" t="s">
        <v>57</v>
      </c>
      <c r="G74" s="5" t="s">
        <v>61</v>
      </c>
      <c r="J74" s="5"/>
      <c r="V74" s="5"/>
      <c r="W74">
        <v>373</v>
      </c>
      <c r="X74" t="s">
        <v>99</v>
      </c>
      <c r="Y74" s="5" t="s">
        <v>61</v>
      </c>
      <c r="AB74" s="5"/>
    </row>
    <row r="75" spans="1:29" x14ac:dyDescent="0.2">
      <c r="A75" t="s">
        <v>316</v>
      </c>
      <c r="B75" s="8">
        <v>10</v>
      </c>
      <c r="C75" s="9" t="s">
        <v>320</v>
      </c>
      <c r="D75" s="8">
        <v>750</v>
      </c>
      <c r="E75">
        <v>325</v>
      </c>
      <c r="F75" t="s">
        <v>57</v>
      </c>
      <c r="G75" s="5" t="s">
        <v>61</v>
      </c>
      <c r="J75" s="5"/>
      <c r="V75" s="5"/>
      <c r="Y75" s="5"/>
      <c r="Z75" s="26"/>
      <c r="AB75" s="5"/>
    </row>
    <row r="76" spans="1:29" x14ac:dyDescent="0.2">
      <c r="A76" t="s">
        <v>316</v>
      </c>
      <c r="B76" s="8">
        <v>12</v>
      </c>
      <c r="C76" s="9" t="s">
        <v>50</v>
      </c>
      <c r="D76" s="8">
        <v>500</v>
      </c>
      <c r="E76">
        <v>313</v>
      </c>
      <c r="F76" t="s">
        <v>57</v>
      </c>
      <c r="G76" s="5" t="s">
        <v>61</v>
      </c>
      <c r="J76" s="5"/>
      <c r="V76" s="5"/>
      <c r="W76">
        <v>369</v>
      </c>
      <c r="X76" t="s">
        <v>99</v>
      </c>
      <c r="Y76" s="5" t="s">
        <v>61</v>
      </c>
      <c r="Z76" s="24"/>
      <c r="AB76" s="5"/>
    </row>
    <row r="77" spans="1:29" x14ac:dyDescent="0.2">
      <c r="A77" t="s">
        <v>316</v>
      </c>
      <c r="B77" s="8">
        <v>14</v>
      </c>
      <c r="C77" s="9" t="s">
        <v>50</v>
      </c>
      <c r="D77" s="8">
        <v>250</v>
      </c>
      <c r="G77" s="5"/>
      <c r="J77" s="5"/>
      <c r="V77" s="5"/>
      <c r="W77">
        <v>370</v>
      </c>
      <c r="X77" t="s">
        <v>99</v>
      </c>
      <c r="Y77" s="5" t="s">
        <v>61</v>
      </c>
      <c r="Z77" s="26"/>
      <c r="AB77" s="5"/>
    </row>
    <row r="78" spans="1:29" x14ac:dyDescent="0.2">
      <c r="A78" t="s">
        <v>316</v>
      </c>
      <c r="B78" s="8">
        <v>16</v>
      </c>
      <c r="C78" s="9" t="s">
        <v>50</v>
      </c>
      <c r="D78" s="8">
        <v>100</v>
      </c>
      <c r="E78">
        <v>314</v>
      </c>
      <c r="F78" t="s">
        <v>57</v>
      </c>
      <c r="G78" s="5" t="s">
        <v>61</v>
      </c>
      <c r="J78" s="5"/>
      <c r="V78" s="5"/>
      <c r="W78">
        <v>374</v>
      </c>
      <c r="X78" t="s">
        <v>99</v>
      </c>
      <c r="Y78" s="5" t="s">
        <v>61</v>
      </c>
      <c r="Z78" s="26"/>
      <c r="AB78" s="5"/>
    </row>
    <row r="79" spans="1:29" x14ac:dyDescent="0.2">
      <c r="A79" t="s">
        <v>316</v>
      </c>
      <c r="B79" s="8">
        <v>17</v>
      </c>
      <c r="C79" s="9" t="s">
        <v>50</v>
      </c>
      <c r="D79" s="8">
        <v>100</v>
      </c>
      <c r="E79">
        <v>315</v>
      </c>
      <c r="F79" t="s">
        <v>57</v>
      </c>
      <c r="G79" s="5" t="s">
        <v>61</v>
      </c>
      <c r="J79" s="5"/>
      <c r="V79" s="5"/>
      <c r="Y79" s="5"/>
      <c r="Z79" s="26"/>
      <c r="AB79" s="5"/>
    </row>
    <row r="80" spans="1:29" x14ac:dyDescent="0.2">
      <c r="A80" t="s">
        <v>316</v>
      </c>
      <c r="B80" s="8">
        <v>18</v>
      </c>
      <c r="C80" s="9" t="s">
        <v>50</v>
      </c>
      <c r="D80" s="8">
        <v>75</v>
      </c>
      <c r="E80">
        <v>316</v>
      </c>
      <c r="F80" t="s">
        <v>57</v>
      </c>
      <c r="G80" s="5" t="s">
        <v>61</v>
      </c>
      <c r="J80" s="5"/>
      <c r="T80">
        <v>3308</v>
      </c>
      <c r="U80" t="s">
        <v>99</v>
      </c>
      <c r="V80" s="5" t="s">
        <v>61</v>
      </c>
      <c r="W80">
        <v>375</v>
      </c>
      <c r="X80" t="s">
        <v>99</v>
      </c>
      <c r="Y80" s="5" t="s">
        <v>61</v>
      </c>
      <c r="Z80" s="26" t="s">
        <v>360</v>
      </c>
      <c r="AA80" t="s">
        <v>357</v>
      </c>
      <c r="AB80" s="5" t="s">
        <v>62</v>
      </c>
    </row>
    <row r="81" spans="1:29" x14ac:dyDescent="0.2">
      <c r="A81" t="s">
        <v>316</v>
      </c>
      <c r="B81" s="8">
        <v>18</v>
      </c>
      <c r="C81" s="9" t="s">
        <v>50</v>
      </c>
      <c r="D81" s="8">
        <v>75</v>
      </c>
      <c r="G81" s="5"/>
      <c r="J81" s="5"/>
      <c r="V81" s="5"/>
      <c r="Y81" s="5"/>
      <c r="Z81" s="26" t="s">
        <v>361</v>
      </c>
      <c r="AA81" t="s">
        <v>357</v>
      </c>
      <c r="AB81" s="5" t="s">
        <v>62</v>
      </c>
      <c r="AC81" t="s">
        <v>359</v>
      </c>
    </row>
    <row r="82" spans="1:29" x14ac:dyDescent="0.2">
      <c r="A82" t="s">
        <v>316</v>
      </c>
      <c r="B82" s="8">
        <v>19</v>
      </c>
      <c r="C82" s="9" t="s">
        <v>50</v>
      </c>
      <c r="D82" s="8">
        <v>60</v>
      </c>
      <c r="G82" s="5"/>
      <c r="J82" s="5"/>
      <c r="T82">
        <v>3309</v>
      </c>
      <c r="U82" t="s">
        <v>99</v>
      </c>
      <c r="V82" s="5" t="s">
        <v>61</v>
      </c>
      <c r="Y82" s="5"/>
      <c r="Z82" s="24"/>
      <c r="AB82" s="5"/>
    </row>
    <row r="83" spans="1:29" x14ac:dyDescent="0.2">
      <c r="A83" t="s">
        <v>316</v>
      </c>
      <c r="B83" s="8">
        <v>20</v>
      </c>
      <c r="C83" s="9" t="s">
        <v>50</v>
      </c>
      <c r="D83" s="8">
        <v>60</v>
      </c>
      <c r="E83">
        <v>317</v>
      </c>
      <c r="F83" t="s">
        <v>57</v>
      </c>
      <c r="G83" s="5" t="s">
        <v>61</v>
      </c>
      <c r="J83" s="5"/>
      <c r="T83">
        <v>3310</v>
      </c>
      <c r="U83" t="s">
        <v>99</v>
      </c>
      <c r="V83" s="5" t="s">
        <v>61</v>
      </c>
      <c r="W83">
        <v>379</v>
      </c>
      <c r="X83" t="s">
        <v>99</v>
      </c>
      <c r="Y83" s="5" t="s">
        <v>61</v>
      </c>
      <c r="AB83" s="5"/>
    </row>
    <row r="84" spans="1:29" x14ac:dyDescent="0.2">
      <c r="A84" t="s">
        <v>316</v>
      </c>
      <c r="B84" s="8">
        <v>21</v>
      </c>
      <c r="C84" s="9" t="s">
        <v>50</v>
      </c>
      <c r="D84" s="8">
        <v>40</v>
      </c>
      <c r="E84">
        <v>318</v>
      </c>
      <c r="F84" t="s">
        <v>363</v>
      </c>
      <c r="G84" s="5" t="s">
        <v>61</v>
      </c>
      <c r="J84" s="5"/>
      <c r="T84">
        <v>3311</v>
      </c>
      <c r="U84" t="s">
        <v>99</v>
      </c>
      <c r="V84" s="5" t="s">
        <v>61</v>
      </c>
      <c r="W84">
        <v>378</v>
      </c>
      <c r="X84" t="s">
        <v>99</v>
      </c>
      <c r="Y84" s="5" t="s">
        <v>61</v>
      </c>
      <c r="Z84" s="26" t="s">
        <v>321</v>
      </c>
      <c r="AA84" t="s">
        <v>357</v>
      </c>
      <c r="AB84" s="5" t="s">
        <v>61</v>
      </c>
      <c r="AC84" t="s">
        <v>371</v>
      </c>
    </row>
    <row r="85" spans="1:29" x14ac:dyDescent="0.2">
      <c r="A85" t="s">
        <v>316</v>
      </c>
      <c r="B85" s="8">
        <v>22</v>
      </c>
      <c r="C85" s="9" t="s">
        <v>50</v>
      </c>
      <c r="D85" s="8">
        <v>40</v>
      </c>
      <c r="G85" s="5"/>
      <c r="J85" s="5"/>
      <c r="T85">
        <v>3312</v>
      </c>
      <c r="U85" t="s">
        <v>99</v>
      </c>
      <c r="V85" s="5" t="s">
        <v>61</v>
      </c>
      <c r="W85">
        <v>376</v>
      </c>
      <c r="X85" t="s">
        <v>99</v>
      </c>
      <c r="Y85" s="5" t="s">
        <v>61</v>
      </c>
      <c r="Z85" s="24" t="s">
        <v>322</v>
      </c>
      <c r="AA85" t="s">
        <v>357</v>
      </c>
      <c r="AB85" s="5" t="s">
        <v>61</v>
      </c>
      <c r="AC85" t="s">
        <v>359</v>
      </c>
    </row>
    <row r="86" spans="1:29" x14ac:dyDescent="0.2">
      <c r="A86" t="s">
        <v>316</v>
      </c>
      <c r="B86" s="8">
        <v>23</v>
      </c>
      <c r="C86" s="9" t="s">
        <v>50</v>
      </c>
      <c r="D86" s="8">
        <v>20</v>
      </c>
      <c r="E86">
        <v>319</v>
      </c>
      <c r="F86" t="s">
        <v>57</v>
      </c>
      <c r="G86" s="5" t="s">
        <v>61</v>
      </c>
      <c r="J86" s="5"/>
      <c r="T86">
        <v>3313</v>
      </c>
      <c r="U86" t="s">
        <v>99</v>
      </c>
      <c r="V86" s="5" t="s">
        <v>61</v>
      </c>
      <c r="W86">
        <v>1</v>
      </c>
      <c r="X86" t="s">
        <v>99</v>
      </c>
      <c r="Y86" s="5" t="s">
        <v>61</v>
      </c>
      <c r="Z86" s="24"/>
      <c r="AB86" s="5"/>
    </row>
    <row r="87" spans="1:29" x14ac:dyDescent="0.2">
      <c r="A87" t="s">
        <v>316</v>
      </c>
      <c r="B87" s="8">
        <v>24</v>
      </c>
      <c r="C87" s="9" t="s">
        <v>50</v>
      </c>
      <c r="D87" s="8">
        <v>10</v>
      </c>
      <c r="E87">
        <v>320</v>
      </c>
      <c r="F87" t="s">
        <v>57</v>
      </c>
      <c r="G87" s="5" t="s">
        <v>61</v>
      </c>
      <c r="J87" s="5"/>
      <c r="T87">
        <v>3314</v>
      </c>
      <c r="U87" t="s">
        <v>99</v>
      </c>
      <c r="V87" s="5" t="s">
        <v>61</v>
      </c>
      <c r="Y87" s="5"/>
      <c r="Z87" s="24"/>
      <c r="AB87" s="5"/>
    </row>
    <row r="88" spans="1:29" x14ac:dyDescent="0.2">
      <c r="B88" s="8"/>
      <c r="C88" s="9"/>
      <c r="G88" s="5"/>
      <c r="J88" s="5"/>
      <c r="V88" s="5"/>
      <c r="Y88" s="5"/>
      <c r="Z88" s="24"/>
      <c r="AB88" s="5"/>
    </row>
    <row r="89" spans="1:29" x14ac:dyDescent="0.2">
      <c r="B89" s="8"/>
      <c r="C89" s="9"/>
      <c r="G89" s="5"/>
      <c r="J89" s="5"/>
      <c r="V89" s="5"/>
      <c r="Y89" s="5"/>
      <c r="Z89" s="24"/>
      <c r="AB89" s="5"/>
    </row>
    <row r="90" spans="1:29" x14ac:dyDescent="0.2">
      <c r="B90" s="8"/>
      <c r="C90" s="9"/>
      <c r="G90" s="5"/>
      <c r="J90" s="5"/>
      <c r="V90" s="5"/>
      <c r="Y90" s="5"/>
      <c r="Z90" s="24"/>
      <c r="AB90" s="5"/>
    </row>
    <row r="91" spans="1:29" x14ac:dyDescent="0.2">
      <c r="B91" s="8"/>
      <c r="C91" s="9"/>
      <c r="G91" s="5"/>
      <c r="J91" s="5"/>
      <c r="V91" s="5"/>
      <c r="Y91" s="5"/>
      <c r="Z91" s="24"/>
      <c r="AB91" s="5"/>
    </row>
    <row r="92" spans="1:29" x14ac:dyDescent="0.2">
      <c r="B92" s="8"/>
      <c r="C92" s="9"/>
      <c r="G92" s="5"/>
      <c r="J92" s="5"/>
      <c r="V92" s="5"/>
      <c r="Y92" s="5"/>
      <c r="Z92" s="24"/>
      <c r="AB92" s="5"/>
    </row>
    <row r="93" spans="1:29" x14ac:dyDescent="0.2">
      <c r="B93" s="8"/>
      <c r="C93" s="9"/>
      <c r="G93" s="5"/>
      <c r="J93" s="5"/>
      <c r="V93" s="5"/>
      <c r="Y93" s="5"/>
      <c r="Z93" s="24"/>
      <c r="AB93" s="5"/>
    </row>
    <row r="94" spans="1:29" x14ac:dyDescent="0.2">
      <c r="B94" s="8"/>
      <c r="C94" s="9"/>
      <c r="G94" s="5"/>
      <c r="J94" s="5"/>
      <c r="V94" s="5"/>
      <c r="Y94" s="5"/>
      <c r="Z94" s="24"/>
      <c r="AB94" s="5"/>
    </row>
    <row r="95" spans="1:29" x14ac:dyDescent="0.2">
      <c r="B95" s="8"/>
      <c r="C95" s="9"/>
      <c r="G95" s="5"/>
      <c r="J95" s="5"/>
      <c r="V95" s="5"/>
      <c r="Y95" s="5"/>
      <c r="Z95" s="24"/>
      <c r="AB95" s="5"/>
    </row>
    <row r="96" spans="1:29" x14ac:dyDescent="0.2">
      <c r="B96" s="8"/>
      <c r="C96" s="9"/>
      <c r="G96" s="5"/>
      <c r="J96" s="5"/>
      <c r="V96" s="5"/>
      <c r="Y96" s="5"/>
      <c r="Z96" s="24"/>
      <c r="AB96" s="5"/>
    </row>
    <row r="97" spans="2:28" x14ac:dyDescent="0.2">
      <c r="B97" s="8"/>
      <c r="C97" s="9"/>
      <c r="G97" s="5"/>
      <c r="J97" s="5"/>
      <c r="V97" s="5"/>
      <c r="Y97" s="5"/>
      <c r="Z97" s="24"/>
      <c r="AB97" s="5"/>
    </row>
    <row r="98" spans="2:28" x14ac:dyDescent="0.2">
      <c r="B98" s="8"/>
      <c r="C98" s="9"/>
      <c r="G98" s="5"/>
      <c r="J98" s="5"/>
      <c r="V98" s="5"/>
      <c r="Y98" s="5"/>
      <c r="Z98" s="24"/>
      <c r="AB98" s="5"/>
    </row>
    <row r="99" spans="2:28" x14ac:dyDescent="0.2">
      <c r="B99" s="8"/>
      <c r="C99" s="9"/>
      <c r="G99" s="5"/>
      <c r="J99" s="5"/>
      <c r="V99" s="5"/>
      <c r="Y99" s="5"/>
      <c r="Z99" s="24"/>
      <c r="AB99" s="5"/>
    </row>
    <row r="100" spans="2:28" x14ac:dyDescent="0.2">
      <c r="B100" s="8"/>
      <c r="C100" s="9"/>
      <c r="G100" s="5"/>
      <c r="J100" s="5"/>
      <c r="V100" s="5"/>
      <c r="Y100" s="5"/>
      <c r="Z100" s="24"/>
      <c r="AB100" s="5"/>
    </row>
    <row r="101" spans="2:28" x14ac:dyDescent="0.2">
      <c r="B101" s="8"/>
      <c r="C101" s="9"/>
      <c r="G101" s="5"/>
      <c r="J101" s="5"/>
      <c r="V101" s="5"/>
      <c r="Y101" s="5"/>
      <c r="Z101" s="24"/>
      <c r="AB101" s="5"/>
    </row>
    <row r="102" spans="2:28" x14ac:dyDescent="0.2">
      <c r="B102" s="8"/>
      <c r="C102" s="9"/>
      <c r="G102" s="5"/>
      <c r="J102" s="5"/>
      <c r="V102" s="5"/>
      <c r="Y102" s="5"/>
      <c r="Z102" s="24"/>
      <c r="AB102" s="5"/>
    </row>
    <row r="103" spans="2:28" x14ac:dyDescent="0.2">
      <c r="B103" s="8"/>
      <c r="C103" s="9"/>
      <c r="G103" s="5"/>
      <c r="J103" s="5"/>
      <c r="V103" s="5"/>
      <c r="Y103" s="5"/>
      <c r="Z103" s="24"/>
      <c r="AB103" s="5"/>
    </row>
    <row r="104" spans="2:28" x14ac:dyDescent="0.2">
      <c r="B104" s="8"/>
      <c r="C104" s="9"/>
      <c r="G104" s="5"/>
      <c r="J104" s="5"/>
      <c r="V104" s="5"/>
      <c r="Y104" s="5"/>
      <c r="Z104" s="24"/>
      <c r="AB104" s="5"/>
    </row>
    <row r="105" spans="2:28" x14ac:dyDescent="0.2">
      <c r="B105" s="8"/>
      <c r="C105" s="9"/>
      <c r="G105" s="5"/>
      <c r="J105" s="5"/>
      <c r="V105" s="5"/>
      <c r="Y105" s="5"/>
      <c r="Z105" s="24"/>
      <c r="AB105" s="5"/>
    </row>
    <row r="106" spans="2:28" x14ac:dyDescent="0.2">
      <c r="B106" s="8"/>
      <c r="C106" s="9"/>
      <c r="G106" s="5"/>
      <c r="J106" s="5"/>
      <c r="V106" s="5"/>
      <c r="Y106" s="5"/>
      <c r="Z106" s="24"/>
      <c r="AB106" s="5"/>
    </row>
    <row r="107" spans="2:28" x14ac:dyDescent="0.2">
      <c r="B107" s="8"/>
      <c r="C107" s="9"/>
      <c r="G107" s="5"/>
      <c r="J107" s="5"/>
      <c r="V107" s="5"/>
      <c r="Y107" s="5"/>
      <c r="Z107" s="24"/>
      <c r="AB107" s="5"/>
    </row>
    <row r="108" spans="2:28" x14ac:dyDescent="0.2">
      <c r="B108" s="8"/>
      <c r="C108" s="9"/>
      <c r="G108" s="5"/>
      <c r="J108" s="5"/>
      <c r="V108" s="5"/>
      <c r="Y108" s="5"/>
      <c r="Z108" s="24"/>
      <c r="AB108" s="5"/>
    </row>
    <row r="109" spans="2:28" x14ac:dyDescent="0.2">
      <c r="B109" s="8"/>
      <c r="C109" s="9"/>
      <c r="G109" s="5"/>
      <c r="J109" s="5"/>
      <c r="V109" s="5"/>
      <c r="Y109" s="5"/>
      <c r="Z109" s="24"/>
      <c r="AB109" s="5"/>
    </row>
    <row r="110" spans="2:28" x14ac:dyDescent="0.2">
      <c r="B110" s="8"/>
      <c r="C110" s="9"/>
      <c r="G110" s="5"/>
      <c r="J110" s="5"/>
      <c r="V110" s="5"/>
      <c r="Y110" s="5"/>
      <c r="Z110" s="24"/>
      <c r="AB110" s="5"/>
    </row>
    <row r="111" spans="2:28" x14ac:dyDescent="0.2">
      <c r="B111" s="8"/>
      <c r="C111" s="9"/>
      <c r="G111" s="5"/>
      <c r="J111" s="5"/>
      <c r="V111" s="5"/>
      <c r="Y111" s="5"/>
      <c r="Z111" s="24"/>
      <c r="AB111" s="5"/>
    </row>
    <row r="112" spans="2:28" x14ac:dyDescent="0.2">
      <c r="B112" s="8"/>
      <c r="C112" s="9"/>
      <c r="G112" s="5"/>
      <c r="J112" s="5"/>
      <c r="V112" s="5"/>
      <c r="Y112" s="5"/>
      <c r="Z112" s="24"/>
      <c r="AB112" s="5"/>
    </row>
    <row r="113" spans="2:28" x14ac:dyDescent="0.2">
      <c r="B113" s="8"/>
      <c r="C113" s="9"/>
      <c r="G113" s="5"/>
      <c r="J113" s="5"/>
      <c r="V113" s="5"/>
      <c r="Y113" s="5"/>
      <c r="Z113" s="24"/>
      <c r="AB113" s="5"/>
    </row>
    <row r="114" spans="2:28" x14ac:dyDescent="0.2">
      <c r="B114" s="8"/>
      <c r="C114" s="9"/>
      <c r="G114" s="5"/>
      <c r="J114" s="5"/>
      <c r="V114" s="5"/>
      <c r="Y114" s="5"/>
      <c r="Z114" s="24"/>
      <c r="AB114" s="5"/>
    </row>
    <row r="115" spans="2:28" x14ac:dyDescent="0.2">
      <c r="B115" s="8"/>
      <c r="C115" s="9"/>
      <c r="G115" s="5"/>
      <c r="J115" s="5"/>
      <c r="V115" s="5"/>
      <c r="Y115" s="5"/>
      <c r="Z115" s="24"/>
      <c r="AB115" s="5"/>
    </row>
    <row r="116" spans="2:28" x14ac:dyDescent="0.2">
      <c r="B116" s="8"/>
      <c r="C116" s="9"/>
      <c r="G116" s="5"/>
      <c r="J116" s="5"/>
      <c r="V116" s="5"/>
      <c r="Y116" s="5"/>
      <c r="Z116" s="24"/>
      <c r="AB116" s="5"/>
    </row>
    <row r="117" spans="2:28" x14ac:dyDescent="0.2">
      <c r="B117" s="8"/>
      <c r="C117" s="9"/>
      <c r="G117" s="5"/>
      <c r="J117" s="5"/>
      <c r="V117" s="5"/>
      <c r="Y117" s="5"/>
      <c r="Z117" s="24"/>
      <c r="AB117" s="5"/>
    </row>
    <row r="118" spans="2:28" x14ac:dyDescent="0.2">
      <c r="B118" s="8"/>
      <c r="C118" s="9"/>
      <c r="G118" s="5"/>
      <c r="J118" s="5"/>
      <c r="V118" s="5"/>
      <c r="Y118" s="5"/>
      <c r="Z118" s="24"/>
      <c r="AB118" s="5"/>
    </row>
    <row r="119" spans="2:28" x14ac:dyDescent="0.2">
      <c r="B119" s="8"/>
      <c r="C119" s="9"/>
      <c r="G119" s="5"/>
      <c r="J119" s="5"/>
      <c r="V119" s="5"/>
      <c r="Y119" s="5"/>
      <c r="Z119" s="24"/>
      <c r="AB119" s="5"/>
    </row>
    <row r="120" spans="2:28" x14ac:dyDescent="0.2">
      <c r="B120" s="8"/>
      <c r="C120" s="9"/>
      <c r="G120" s="5"/>
      <c r="J120" s="5"/>
      <c r="V120" s="5"/>
      <c r="Y120" s="5"/>
      <c r="Z120" s="24"/>
      <c r="AB120" s="5"/>
    </row>
    <row r="121" spans="2:28" x14ac:dyDescent="0.2">
      <c r="B121" s="8"/>
      <c r="C121" s="9"/>
      <c r="G121" s="5"/>
      <c r="J121" s="5"/>
      <c r="V121" s="5"/>
      <c r="Y121" s="5"/>
      <c r="Z121" s="24"/>
      <c r="AB121" s="5"/>
    </row>
    <row r="122" spans="2:28" x14ac:dyDescent="0.2">
      <c r="B122" s="8"/>
      <c r="C122" s="9"/>
      <c r="G122" s="5"/>
      <c r="J122" s="5"/>
      <c r="V122" s="5"/>
      <c r="Y122" s="5"/>
      <c r="Z122" s="24"/>
      <c r="AB122" s="5"/>
    </row>
    <row r="123" spans="2:28" x14ac:dyDescent="0.2">
      <c r="B123" s="8"/>
      <c r="C123" s="9"/>
      <c r="G123" s="5"/>
      <c r="J123" s="5"/>
      <c r="V123" s="5"/>
      <c r="Y123" s="5"/>
      <c r="Z123" s="24"/>
      <c r="AB123" s="5"/>
    </row>
    <row r="124" spans="2:28" x14ac:dyDescent="0.2">
      <c r="B124" s="8"/>
      <c r="C124" s="9"/>
      <c r="G124" s="5"/>
      <c r="J124" s="5"/>
      <c r="V124" s="5"/>
      <c r="Y124" s="5"/>
      <c r="Z124" s="24"/>
      <c r="AB124" s="5"/>
    </row>
    <row r="125" spans="2:28" x14ac:dyDescent="0.2">
      <c r="B125" s="8"/>
      <c r="C125" s="9"/>
      <c r="G125" s="5"/>
      <c r="J125" s="5"/>
      <c r="V125" s="5"/>
      <c r="Y125" s="5"/>
      <c r="Z125" s="24"/>
      <c r="AB125" s="5"/>
    </row>
    <row r="126" spans="2:28" x14ac:dyDescent="0.2">
      <c r="B126" s="8"/>
      <c r="C126" s="9"/>
      <c r="G126" s="5"/>
      <c r="J126" s="5"/>
      <c r="V126" s="5"/>
      <c r="Y126" s="5"/>
      <c r="Z126" s="24"/>
      <c r="AB126" s="5"/>
    </row>
    <row r="127" spans="2:28" x14ac:dyDescent="0.2">
      <c r="B127" s="8"/>
      <c r="C127" s="9"/>
      <c r="G127" s="5"/>
      <c r="J127" s="5"/>
      <c r="V127" s="5"/>
      <c r="Y127" s="5"/>
      <c r="Z127" s="24"/>
      <c r="AB127" s="5"/>
    </row>
    <row r="128" spans="2:28" x14ac:dyDescent="0.2">
      <c r="B128" s="8"/>
      <c r="C128" s="9"/>
      <c r="G128" s="5"/>
      <c r="J128" s="5"/>
      <c r="V128" s="5"/>
      <c r="Y128" s="5"/>
      <c r="Z128" s="24"/>
      <c r="AB128" s="5"/>
    </row>
    <row r="129" spans="2:28" x14ac:dyDescent="0.2">
      <c r="B129" s="8"/>
      <c r="C129" s="9"/>
      <c r="G129" s="5"/>
      <c r="J129" s="5"/>
      <c r="V129" s="5"/>
      <c r="Y129" s="5"/>
      <c r="Z129" s="24"/>
      <c r="AB129" s="5"/>
    </row>
    <row r="130" spans="2:28" x14ac:dyDescent="0.2">
      <c r="B130" s="8"/>
      <c r="C130" s="9"/>
      <c r="G130" s="5"/>
      <c r="J130" s="5"/>
      <c r="V130" s="5"/>
      <c r="Y130" s="5"/>
      <c r="Z130" s="24"/>
      <c r="AB130" s="5"/>
    </row>
    <row r="131" spans="2:28" x14ac:dyDescent="0.2">
      <c r="B131" s="8"/>
      <c r="C131" s="9"/>
      <c r="G131" s="5"/>
      <c r="J131" s="5"/>
      <c r="V131" s="5"/>
      <c r="Y131" s="5"/>
      <c r="Z131" s="24"/>
      <c r="AB131" s="5"/>
    </row>
    <row r="132" spans="2:28" x14ac:dyDescent="0.2">
      <c r="B132" s="8"/>
      <c r="C132" s="9"/>
      <c r="G132" s="5"/>
      <c r="J132" s="5"/>
      <c r="V132" s="5"/>
      <c r="Y132" s="5"/>
      <c r="Z132" s="24"/>
      <c r="AB132" s="5"/>
    </row>
    <row r="133" spans="2:28" x14ac:dyDescent="0.2">
      <c r="B133" s="8"/>
      <c r="C133" s="9"/>
      <c r="G133" s="5"/>
      <c r="J133" s="5"/>
      <c r="V133" s="5"/>
      <c r="Y133" s="5"/>
      <c r="Z133" s="24"/>
      <c r="AB133" s="5"/>
    </row>
    <row r="134" spans="2:28" x14ac:dyDescent="0.2">
      <c r="B134" s="8"/>
      <c r="C134" s="9"/>
      <c r="G134" s="5"/>
      <c r="J134" s="5"/>
      <c r="V134" s="5"/>
      <c r="Y134" s="5"/>
      <c r="Z134" s="24"/>
      <c r="AB134" s="5"/>
    </row>
    <row r="135" spans="2:28" x14ac:dyDescent="0.2">
      <c r="B135" s="8"/>
      <c r="C135" s="9"/>
      <c r="G135" s="5"/>
      <c r="J135" s="5"/>
      <c r="V135" s="5"/>
      <c r="Y135" s="5"/>
      <c r="Z135" s="24"/>
      <c r="AB135" s="5"/>
    </row>
    <row r="136" spans="2:28" x14ac:dyDescent="0.2">
      <c r="B136" s="8"/>
      <c r="C136" s="9"/>
      <c r="G136" s="5"/>
      <c r="J136" s="5"/>
      <c r="V136" s="5"/>
      <c r="Y136" s="5"/>
      <c r="Z136" s="24"/>
      <c r="AB136" s="5"/>
    </row>
    <row r="137" spans="2:28" x14ac:dyDescent="0.2">
      <c r="B137" s="8"/>
      <c r="C137" s="9"/>
      <c r="G137" s="5"/>
      <c r="J137" s="5"/>
      <c r="V137" s="5"/>
      <c r="Y137" s="5"/>
      <c r="Z137" s="24"/>
      <c r="AB137" s="5"/>
    </row>
    <row r="138" spans="2:28" x14ac:dyDescent="0.2">
      <c r="B138" s="8"/>
      <c r="C138" s="9"/>
      <c r="G138" s="5"/>
      <c r="J138" s="5"/>
      <c r="V138" s="5"/>
      <c r="Y138" s="5"/>
      <c r="Z138" s="24"/>
      <c r="AB138" s="5"/>
    </row>
    <row r="139" spans="2:28" x14ac:dyDescent="0.2">
      <c r="B139" s="8"/>
      <c r="C139" s="9"/>
      <c r="G139" s="5"/>
      <c r="J139" s="5"/>
      <c r="V139" s="5"/>
      <c r="Y139" s="5"/>
      <c r="Z139" s="24"/>
      <c r="AB139" s="5"/>
    </row>
    <row r="140" spans="2:28" x14ac:dyDescent="0.2">
      <c r="B140" s="8"/>
      <c r="C140" s="9"/>
      <c r="G140" s="5"/>
      <c r="J140" s="5"/>
      <c r="V140" s="5"/>
      <c r="Y140" s="5"/>
      <c r="Z140" s="24"/>
      <c r="AB140" s="5"/>
    </row>
    <row r="141" spans="2:28" x14ac:dyDescent="0.2">
      <c r="B141" s="8"/>
      <c r="C141" s="9"/>
      <c r="G141" s="5"/>
      <c r="J141" s="5"/>
      <c r="V141" s="5"/>
      <c r="Y141" s="5"/>
      <c r="Z141" s="24"/>
      <c r="AB141" s="5"/>
    </row>
    <row r="142" spans="2:28" x14ac:dyDescent="0.2">
      <c r="B142" s="8"/>
      <c r="C142" s="9"/>
      <c r="G142" s="5"/>
      <c r="J142" s="5"/>
      <c r="V142" s="5"/>
      <c r="Y142" s="5"/>
      <c r="Z142" s="24"/>
      <c r="AB142" s="5"/>
    </row>
    <row r="143" spans="2:28" x14ac:dyDescent="0.2">
      <c r="B143" s="8"/>
      <c r="C143" s="9"/>
      <c r="G143" s="5"/>
      <c r="J143" s="5"/>
      <c r="V143" s="5"/>
      <c r="Y143" s="5"/>
      <c r="Z143" s="24"/>
      <c r="AB143" s="5"/>
    </row>
    <row r="144" spans="2:28" x14ac:dyDescent="0.2">
      <c r="B144" s="8"/>
      <c r="C144" s="9"/>
      <c r="G144" s="5"/>
      <c r="J144" s="5"/>
      <c r="V144" s="5"/>
      <c r="Y144" s="5"/>
      <c r="Z144" s="24"/>
      <c r="AB144" s="5"/>
    </row>
    <row r="145" spans="2:28" x14ac:dyDescent="0.2">
      <c r="B145" s="8"/>
      <c r="C145" s="9"/>
      <c r="G145" s="5"/>
      <c r="J145" s="5"/>
      <c r="V145" s="5"/>
      <c r="Y145" s="5"/>
      <c r="Z145" s="24"/>
      <c r="AB145" s="5"/>
    </row>
    <row r="146" spans="2:28" x14ac:dyDescent="0.2">
      <c r="B146" s="8"/>
      <c r="C146" s="9"/>
      <c r="G146" s="5"/>
      <c r="J146" s="5"/>
      <c r="V146" s="5"/>
      <c r="Y146" s="5"/>
      <c r="Z146" s="24"/>
      <c r="AB146" s="5"/>
    </row>
    <row r="147" spans="2:28" x14ac:dyDescent="0.2">
      <c r="B147" s="8"/>
      <c r="C147" s="9"/>
      <c r="G147" s="5"/>
      <c r="J147" s="5"/>
      <c r="V147" s="5"/>
      <c r="Y147" s="5"/>
      <c r="Z147" s="24"/>
      <c r="AB147" s="5"/>
    </row>
    <row r="148" spans="2:28" x14ac:dyDescent="0.2">
      <c r="B148" s="8"/>
      <c r="C148" s="9"/>
      <c r="G148" s="5"/>
      <c r="J148" s="5"/>
      <c r="V148" s="5"/>
      <c r="Y148" s="5"/>
      <c r="Z148" s="24"/>
      <c r="AB148" s="5"/>
    </row>
    <row r="149" spans="2:28" x14ac:dyDescent="0.2">
      <c r="B149" s="8"/>
      <c r="C149" s="9"/>
      <c r="G149" s="5"/>
      <c r="J149" s="5"/>
      <c r="V149" s="5"/>
      <c r="Y149" s="5"/>
      <c r="Z149" s="24"/>
      <c r="AB149" s="5"/>
    </row>
    <row r="150" spans="2:28" x14ac:dyDescent="0.2">
      <c r="B150" s="8"/>
      <c r="C150" s="9"/>
      <c r="G150" s="5"/>
      <c r="J150" s="5"/>
      <c r="V150" s="5"/>
      <c r="Y150" s="5"/>
      <c r="Z150" s="24"/>
      <c r="AB150" s="5"/>
    </row>
    <row r="151" spans="2:28" x14ac:dyDescent="0.2">
      <c r="B151" s="8"/>
      <c r="C151" s="9"/>
      <c r="G151" s="5"/>
      <c r="J151" s="5"/>
      <c r="V151" s="5"/>
      <c r="Y151" s="5"/>
      <c r="Z151" s="24"/>
      <c r="AB151" s="5"/>
    </row>
    <row r="152" spans="2:28" x14ac:dyDescent="0.2">
      <c r="B152" s="8"/>
      <c r="C152" s="9"/>
      <c r="G152" s="5"/>
      <c r="J152" s="5"/>
      <c r="V152" s="5"/>
      <c r="Y152" s="5"/>
      <c r="Z152" s="24"/>
      <c r="AB152" s="5"/>
    </row>
    <row r="153" spans="2:28" x14ac:dyDescent="0.2">
      <c r="B153" s="8"/>
      <c r="C153" s="9"/>
      <c r="G153" s="5"/>
      <c r="J153" s="5"/>
      <c r="V153" s="5"/>
      <c r="Y153" s="5"/>
      <c r="Z153" s="24"/>
      <c r="AB153" s="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3000000}">
          <x14:formula1>
            <xm:f>_NiskinBottles_!$A:$A</xm:f>
          </x14:formula1>
          <xm:sqref>B78:B153 B2:B76</xm:sqref>
        </x14:dataValidation>
        <x14:dataValidation type="list" allowBlank="1" showInputMessage="1" showErrorMessage="1" xr:uid="{00000000-0002-0000-0200-000000000000}">
          <x14:formula1>
            <xm:f>_Flags_!$G$2:$G$6</xm:f>
          </x14:formula1>
          <xm:sqref>V2:V153 P2:S153 J2:J153 Y2:Y153 AB2:AB153 G2:G153 M2:M153</xm:sqref>
        </x14:dataValidation>
        <x14:dataValidation type="list" allowBlank="1" showInputMessage="1" showErrorMessage="1" xr:uid="{00000000-0002-0000-0200-000001000000}">
          <x14:formula1>
            <xm:f>_Flags_!$F$2:$F$9</xm:f>
          </x14:formula1>
          <xm:sqref>L2:L153 O2:O153 AA2:AA153 U2:U153 X2:X153 I2:I153 F2:F153</xm:sqref>
        </x14:dataValidation>
        <x14:dataValidation type="list" allowBlank="1" showInputMessage="1" showErrorMessage="1" xr:uid="{00000000-0002-0000-0200-000002000000}">
          <x14:formula1>
            <xm:f>_Flags_!$E$2:$E$17</xm:f>
          </x14:formula1>
          <xm:sqref>C2:C153</xm:sqref>
        </x14:dataValidation>
        <x14:dataValidation type="list" allowBlank="1" showInputMessage="1" showErrorMessage="1" xr:uid="{00000000-0002-0000-0200-000004000000}">
          <x14:formula1>
            <xm:f>CastList!$D:$D</xm:f>
          </x14:formula1>
          <xm:sqref>A2:A153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92D050"/>
  </sheetPr>
  <dimension ref="A1:K30"/>
  <sheetViews>
    <sheetView workbookViewId="0"/>
  </sheetViews>
  <sheetFormatPr baseColWidth="10" defaultRowHeight="16" x14ac:dyDescent="0.2"/>
  <cols>
    <col min="2" max="2" width="7.5" bestFit="1" customWidth="1"/>
    <col min="3" max="3" width="20.83203125" bestFit="1" customWidth="1"/>
    <col min="4" max="4" width="22.33203125" bestFit="1" customWidth="1"/>
    <col min="5" max="5" width="22.33203125" customWidth="1"/>
    <col min="6" max="6" width="26.6640625" bestFit="1" customWidth="1"/>
    <col min="7" max="7" width="23.33203125" customWidth="1"/>
    <col min="8" max="8" width="124.5" bestFit="1" customWidth="1"/>
    <col min="9" max="9" width="9.83203125" bestFit="1" customWidth="1"/>
    <col min="10" max="10" width="38.33203125" bestFit="1" customWidth="1"/>
  </cols>
  <sheetData>
    <row r="1" spans="1:11" x14ac:dyDescent="0.2">
      <c r="A1" s="6" t="s">
        <v>15</v>
      </c>
      <c r="B1" s="6" t="s">
        <v>159</v>
      </c>
      <c r="C1" s="6" t="s">
        <v>160</v>
      </c>
      <c r="D1" s="6" t="s">
        <v>161</v>
      </c>
      <c r="E1" s="6" t="s">
        <v>162</v>
      </c>
      <c r="F1" s="6" t="s">
        <v>158</v>
      </c>
      <c r="G1" s="6" t="s">
        <v>157</v>
      </c>
      <c r="H1" s="6" t="s">
        <v>156</v>
      </c>
      <c r="I1" s="6" t="s">
        <v>155</v>
      </c>
      <c r="J1" s="6" t="s">
        <v>154</v>
      </c>
      <c r="K1" s="6" t="s">
        <v>0</v>
      </c>
    </row>
    <row r="2" spans="1:11" x14ac:dyDescent="0.2">
      <c r="A2" t="s">
        <v>231</v>
      </c>
      <c r="B2" t="s">
        <v>256</v>
      </c>
      <c r="C2">
        <v>45.816908120000001</v>
      </c>
      <c r="D2">
        <v>-129.75396430999999</v>
      </c>
      <c r="E2" t="s">
        <v>340</v>
      </c>
      <c r="F2" t="s">
        <v>334</v>
      </c>
      <c r="G2" t="s">
        <v>135</v>
      </c>
      <c r="H2" t="s">
        <v>328</v>
      </c>
      <c r="I2">
        <v>2606.46</v>
      </c>
      <c r="J2" t="s">
        <v>346</v>
      </c>
    </row>
    <row r="3" spans="1:11" x14ac:dyDescent="0.2">
      <c r="A3" t="s">
        <v>231</v>
      </c>
      <c r="B3" t="s">
        <v>256</v>
      </c>
      <c r="C3">
        <v>45.81691077</v>
      </c>
      <c r="D3">
        <v>-129.75396656000001</v>
      </c>
      <c r="E3" t="s">
        <v>341</v>
      </c>
      <c r="F3" t="s">
        <v>335</v>
      </c>
      <c r="G3" t="s">
        <v>137</v>
      </c>
      <c r="H3" t="s">
        <v>329</v>
      </c>
      <c r="I3">
        <v>2606.42</v>
      </c>
      <c r="J3" t="s">
        <v>347</v>
      </c>
    </row>
    <row r="4" spans="1:11" x14ac:dyDescent="0.2">
      <c r="A4" t="s">
        <v>231</v>
      </c>
      <c r="B4" t="s">
        <v>279</v>
      </c>
      <c r="C4">
        <v>44.515134160000002</v>
      </c>
      <c r="D4">
        <v>-125.3898279</v>
      </c>
      <c r="E4" t="s">
        <v>342</v>
      </c>
      <c r="F4" t="s">
        <v>336</v>
      </c>
      <c r="G4" t="s">
        <v>137</v>
      </c>
      <c r="H4" t="s">
        <v>330</v>
      </c>
      <c r="I4">
        <v>2902.27</v>
      </c>
      <c r="J4" t="s">
        <v>348</v>
      </c>
    </row>
    <row r="5" spans="1:11" x14ac:dyDescent="0.2">
      <c r="A5" t="s">
        <v>231</v>
      </c>
      <c r="B5" t="s">
        <v>279</v>
      </c>
      <c r="C5">
        <v>44.515140549999998</v>
      </c>
      <c r="D5">
        <v>-125.38982755000001</v>
      </c>
      <c r="E5" t="s">
        <v>343</v>
      </c>
      <c r="F5" t="s">
        <v>337</v>
      </c>
      <c r="G5" t="s">
        <v>135</v>
      </c>
      <c r="H5" t="s">
        <v>331</v>
      </c>
      <c r="I5">
        <v>2902.26</v>
      </c>
      <c r="J5" t="s">
        <v>349</v>
      </c>
    </row>
    <row r="6" spans="1:11" x14ac:dyDescent="0.2">
      <c r="A6" t="s">
        <v>231</v>
      </c>
      <c r="B6" t="s">
        <v>291</v>
      </c>
      <c r="C6">
        <v>44.527026360000001</v>
      </c>
      <c r="D6">
        <v>-125.38038933999999</v>
      </c>
      <c r="E6" t="s">
        <v>344</v>
      </c>
      <c r="F6" t="s">
        <v>338</v>
      </c>
      <c r="G6" t="s">
        <v>135</v>
      </c>
      <c r="H6" t="s">
        <v>332</v>
      </c>
      <c r="I6">
        <v>2889.33</v>
      </c>
      <c r="J6" t="s">
        <v>350</v>
      </c>
    </row>
    <row r="7" spans="1:11" x14ac:dyDescent="0.2">
      <c r="A7" t="s">
        <v>231</v>
      </c>
      <c r="B7" t="s">
        <v>291</v>
      </c>
      <c r="C7">
        <v>44.52647932</v>
      </c>
      <c r="D7">
        <v>-125.38023314</v>
      </c>
      <c r="E7" t="s">
        <v>345</v>
      </c>
      <c r="F7" t="s">
        <v>339</v>
      </c>
      <c r="G7" t="s">
        <v>137</v>
      </c>
      <c r="H7" t="s">
        <v>333</v>
      </c>
      <c r="I7">
        <v>1499.86</v>
      </c>
      <c r="J7" t="s">
        <v>351</v>
      </c>
    </row>
    <row r="25" spans="6:6" x14ac:dyDescent="0.2">
      <c r="F25" s="38"/>
    </row>
    <row r="26" spans="6:6" x14ac:dyDescent="0.2">
      <c r="F26" s="38"/>
    </row>
    <row r="27" spans="6:6" x14ac:dyDescent="0.2">
      <c r="F27" s="38"/>
    </row>
    <row r="28" spans="6:6" x14ac:dyDescent="0.2">
      <c r="F28" s="38"/>
    </row>
    <row r="29" spans="6:6" x14ac:dyDescent="0.2">
      <c r="F29" s="38"/>
    </row>
    <row r="30" spans="6:6" x14ac:dyDescent="0.2">
      <c r="F30" s="38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00B050"/>
  </sheetPr>
  <dimension ref="A1:W64"/>
  <sheetViews>
    <sheetView tabSelected="1" workbookViewId="0">
      <selection sqref="A1:H1"/>
    </sheetView>
  </sheetViews>
  <sheetFormatPr baseColWidth="10" defaultRowHeight="16" x14ac:dyDescent="0.2"/>
  <cols>
    <col min="1" max="1" width="9.83203125" customWidth="1"/>
    <col min="2" max="2" width="16.6640625" bestFit="1" customWidth="1"/>
    <col min="3" max="3" width="16.6640625" customWidth="1"/>
    <col min="4" max="4" width="9.83203125" customWidth="1"/>
    <col min="5" max="5" width="9.83203125" style="29" customWidth="1"/>
    <col min="6" max="7" width="9.83203125" customWidth="1"/>
    <col min="8" max="10" width="11.33203125" customWidth="1"/>
    <col min="11" max="11" width="21" customWidth="1"/>
    <col min="12" max="12" width="32" bestFit="1" customWidth="1"/>
    <col min="13" max="13" width="23" customWidth="1"/>
    <col min="22" max="22" width="12" bestFit="1" customWidth="1"/>
    <col min="23" max="23" width="10.5" customWidth="1"/>
  </cols>
  <sheetData>
    <row r="1" spans="1:23" ht="17" customHeight="1" x14ac:dyDescent="0.2">
      <c r="A1" s="54" t="s">
        <v>8</v>
      </c>
      <c r="B1" s="54"/>
      <c r="C1" s="54"/>
      <c r="D1" s="54"/>
      <c r="E1" s="54"/>
      <c r="F1" s="54"/>
      <c r="G1" s="54"/>
      <c r="H1" s="54"/>
      <c r="I1" s="14"/>
      <c r="J1" s="14"/>
      <c r="N1" s="57" t="s">
        <v>123</v>
      </c>
      <c r="O1" s="57" t="s">
        <v>124</v>
      </c>
      <c r="P1" s="57" t="s">
        <v>125</v>
      </c>
      <c r="Q1" s="57" t="s">
        <v>126</v>
      </c>
      <c r="R1" s="57" t="s">
        <v>127</v>
      </c>
      <c r="S1" s="57" t="s">
        <v>128</v>
      </c>
      <c r="T1" s="57" t="s">
        <v>129</v>
      </c>
      <c r="U1" s="57" t="s">
        <v>130</v>
      </c>
      <c r="V1" s="56" t="s">
        <v>133</v>
      </c>
      <c r="W1" s="56" t="s">
        <v>132</v>
      </c>
    </row>
    <row r="2" spans="1:23" x14ac:dyDescent="0.2">
      <c r="A2" s="55" t="s">
        <v>1</v>
      </c>
      <c r="B2" s="55"/>
      <c r="C2" s="35"/>
      <c r="D2" s="44" t="s">
        <v>231</v>
      </c>
      <c r="E2" s="44"/>
      <c r="F2" s="44"/>
      <c r="G2" s="44"/>
      <c r="H2" s="44"/>
      <c r="I2" s="2"/>
      <c r="J2" s="2"/>
      <c r="M2" t="s">
        <v>122</v>
      </c>
      <c r="N2" s="57"/>
      <c r="O2" s="57"/>
      <c r="P2" s="57"/>
      <c r="Q2" s="57"/>
      <c r="R2" s="57"/>
      <c r="S2" s="57"/>
      <c r="T2" s="57"/>
      <c r="U2" s="57"/>
      <c r="V2" s="56"/>
      <c r="W2" s="56"/>
    </row>
    <row r="3" spans="1:23" x14ac:dyDescent="0.2">
      <c r="A3" s="40" t="s">
        <v>3</v>
      </c>
      <c r="B3" s="41"/>
      <c r="C3" s="37"/>
      <c r="D3" s="13">
        <v>0.01</v>
      </c>
      <c r="E3" s="28"/>
      <c r="F3" s="12"/>
      <c r="G3" s="12"/>
      <c r="H3" s="12"/>
      <c r="I3" s="2"/>
      <c r="J3" s="2"/>
    </row>
    <row r="4" spans="1:23" x14ac:dyDescent="0.2">
      <c r="A4" s="40" t="s">
        <v>2</v>
      </c>
      <c r="B4" s="41"/>
      <c r="C4" s="37"/>
      <c r="D4" s="13">
        <v>10</v>
      </c>
      <c r="E4" s="28"/>
      <c r="F4" s="12"/>
      <c r="G4" s="12"/>
      <c r="H4" s="12"/>
      <c r="I4" s="2"/>
      <c r="J4" s="2"/>
      <c r="M4">
        <v>1</v>
      </c>
      <c r="N4">
        <v>0.56599999999999995</v>
      </c>
      <c r="O4">
        <v>0.5665</v>
      </c>
      <c r="P4">
        <v>0.56200000000000006</v>
      </c>
      <c r="R4" s="30">
        <v>5.3499999999999999E-2</v>
      </c>
      <c r="S4" s="30">
        <v>5.2999999999999999E-2</v>
      </c>
      <c r="V4">
        <f>AVERAGE(N4:Q4)</f>
        <v>0.5648333333333333</v>
      </c>
      <c r="W4">
        <f>AVERAGE((R4-S4))</f>
        <v>5.0000000000000044E-4</v>
      </c>
    </row>
    <row r="5" spans="1:23" ht="13" customHeight="1" x14ac:dyDescent="0.2">
      <c r="A5" s="3"/>
      <c r="B5" s="3"/>
      <c r="C5" s="3"/>
      <c r="M5">
        <v>2</v>
      </c>
      <c r="N5">
        <v>0.53749999999999998</v>
      </c>
      <c r="O5" s="1">
        <v>0.52749999999999997</v>
      </c>
      <c r="P5" s="30">
        <v>0.51749999999999996</v>
      </c>
      <c r="Q5" s="30">
        <v>0.51849999999999996</v>
      </c>
      <c r="R5" s="30">
        <v>5.2999999999999999E-2</v>
      </c>
      <c r="S5" s="30">
        <v>5.3499999999999999E-2</v>
      </c>
      <c r="V5">
        <f>AVERAGE(N5:Q5)</f>
        <v>0.52524999999999999</v>
      </c>
      <c r="W5">
        <f>AVERAGE((R5-S5))</f>
        <v>-5.0000000000000044E-4</v>
      </c>
    </row>
    <row r="6" spans="1:23" x14ac:dyDescent="0.2">
      <c r="A6" s="53" t="s">
        <v>4</v>
      </c>
      <c r="B6" s="53"/>
      <c r="C6" s="36"/>
      <c r="D6" s="44"/>
      <c r="E6" s="44"/>
      <c r="F6" s="44"/>
      <c r="G6" s="44"/>
      <c r="H6" s="44"/>
      <c r="I6" s="2"/>
      <c r="J6" s="2"/>
      <c r="M6">
        <v>3</v>
      </c>
      <c r="N6">
        <v>0.50949999999999995</v>
      </c>
      <c r="O6">
        <v>0.52200000000000002</v>
      </c>
      <c r="P6">
        <v>0.48649999999999999</v>
      </c>
      <c r="Q6">
        <v>0.52149999999999996</v>
      </c>
      <c r="R6">
        <v>5.6000000000000001E-2</v>
      </c>
      <c r="S6">
        <v>5.3499999999999999E-2</v>
      </c>
      <c r="V6">
        <f>AVERAGE(N6:Q6)</f>
        <v>0.50987499999999997</v>
      </c>
      <c r="W6">
        <f>AVERAGE((R6-S6))</f>
        <v>2.5000000000000022E-3</v>
      </c>
    </row>
    <row r="7" spans="1:23" ht="13" customHeight="1" x14ac:dyDescent="0.2">
      <c r="M7">
        <v>4</v>
      </c>
      <c r="N7" s="1">
        <v>0.51749999999999996</v>
      </c>
      <c r="O7">
        <v>0.51600000000000001</v>
      </c>
      <c r="P7">
        <v>0.51700000000000002</v>
      </c>
      <c r="R7">
        <v>5.1999999999999998E-2</v>
      </c>
      <c r="S7">
        <v>5.1999999999999998E-2</v>
      </c>
      <c r="V7">
        <f>AVERAGE(N7:Q7)</f>
        <v>0.51683333333333337</v>
      </c>
      <c r="W7">
        <f>AVERAGE((R7-S7))</f>
        <v>0</v>
      </c>
    </row>
    <row r="8" spans="1:23" ht="13" customHeight="1" x14ac:dyDescent="0.2">
      <c r="A8" s="45" t="s">
        <v>5</v>
      </c>
      <c r="B8" s="45" t="s">
        <v>7</v>
      </c>
      <c r="C8" s="45" t="s">
        <v>19</v>
      </c>
      <c r="D8" s="45" t="s">
        <v>6</v>
      </c>
      <c r="E8" s="46" t="s">
        <v>11</v>
      </c>
      <c r="F8" s="47" t="s">
        <v>119</v>
      </c>
      <c r="G8" s="48" t="s">
        <v>120</v>
      </c>
      <c r="H8" s="50" t="s">
        <v>121</v>
      </c>
      <c r="I8" s="42" t="s">
        <v>131</v>
      </c>
      <c r="J8" s="42" t="s">
        <v>132</v>
      </c>
      <c r="K8" s="58" t="s">
        <v>152</v>
      </c>
      <c r="L8" s="52" t="s">
        <v>0</v>
      </c>
    </row>
    <row r="9" spans="1:23" ht="15" customHeight="1" x14ac:dyDescent="0.2">
      <c r="A9" s="45"/>
      <c r="B9" s="45"/>
      <c r="C9" s="45"/>
      <c r="D9" s="45"/>
      <c r="E9" s="46"/>
      <c r="F9" s="47"/>
      <c r="G9" s="49"/>
      <c r="H9" s="51"/>
      <c r="I9" s="43"/>
      <c r="J9" s="43"/>
      <c r="K9" s="59"/>
      <c r="L9" s="52"/>
      <c r="N9" s="29"/>
    </row>
    <row r="10" spans="1:23" x14ac:dyDescent="0.2">
      <c r="A10" t="str" cm="1">
        <f t="array" ref="A10:E64">(_xlfn._xlws.FILTER((SampleList!A2:INDEX(SampleList!E:E, ROWS(SampleList!E:E))),(SampleList!E2:INDEX(SampleList!E:E, ROWS(SampleList!E:E)))&lt;&gt;""))</f>
        <v>CTD-001</v>
      </c>
      <c r="B10">
        <v>1</v>
      </c>
      <c r="C10" t="str">
        <v>No problems noted</v>
      </c>
      <c r="D10">
        <v>220</v>
      </c>
      <c r="E10">
        <v>313</v>
      </c>
      <c r="F10">
        <f>LOOKUP(E10,'++OxygenParameters++'!A:A,'++OxygenParameters++'!B:B)</f>
        <v>138.97</v>
      </c>
      <c r="G10">
        <v>0.47149999999999997</v>
      </c>
      <c r="H10">
        <v>1</v>
      </c>
      <c r="I10">
        <f t="shared" ref="I10:I64" si="0">LOOKUP(H10,M:M,V:V)</f>
        <v>0.5648333333333333</v>
      </c>
      <c r="J10">
        <f t="shared" ref="J10:J64" si="1">LOOKUP(H10,M:M,W:W)</f>
        <v>5.0000000000000044E-4</v>
      </c>
      <c r="K10" s="10">
        <f>(((((G10-J10)*$D$4*$D$3*5598)/(I10-J10))-1000*0.0017)/(F10-2))</f>
        <v>3.3986743122963232</v>
      </c>
    </row>
    <row r="11" spans="1:23" x14ac:dyDescent="0.2">
      <c r="A11" t="str">
        <v>CTD-001</v>
      </c>
      <c r="B11">
        <v>5</v>
      </c>
      <c r="C11" t="str">
        <v>No problems noted</v>
      </c>
      <c r="D11">
        <v>180</v>
      </c>
      <c r="E11" s="29">
        <v>314</v>
      </c>
      <c r="F11">
        <f>LOOKUP(E11,'++OxygenParameters++'!A:A,'++OxygenParameters++'!B:B)</f>
        <v>134.46</v>
      </c>
      <c r="G11">
        <v>0.51</v>
      </c>
      <c r="H11">
        <v>1</v>
      </c>
      <c r="I11">
        <f t="shared" si="0"/>
        <v>0.5648333333333333</v>
      </c>
      <c r="J11">
        <f t="shared" si="1"/>
        <v>5.0000000000000044E-4</v>
      </c>
      <c r="K11" s="10">
        <f>(((((G11-J11)*$D$4*$D$3*5598)/(I11-J11))-1000*0.0017)/(F11-2))</f>
        <v>3.8027113624958186</v>
      </c>
    </row>
    <row r="12" spans="1:23" x14ac:dyDescent="0.2">
      <c r="A12" t="str">
        <v>CTD-001</v>
      </c>
      <c r="B12">
        <v>6</v>
      </c>
      <c r="C12" t="str">
        <v>No problems noted</v>
      </c>
      <c r="D12">
        <v>180</v>
      </c>
      <c r="E12" s="29">
        <v>315</v>
      </c>
      <c r="F12">
        <f>LOOKUP(E11,'++OxygenParameters++'!A:A,'++OxygenParameters++'!B:B)</f>
        <v>134.46</v>
      </c>
      <c r="G12">
        <v>0.503</v>
      </c>
      <c r="H12">
        <v>1</v>
      </c>
      <c r="I12">
        <f t="shared" si="0"/>
        <v>0.5648333333333333</v>
      </c>
      <c r="J12">
        <f t="shared" si="1"/>
        <v>5.0000000000000044E-4</v>
      </c>
      <c r="K12" s="10">
        <f t="shared" ref="K12:K29" si="2">(((((G12-J12)*$D$4*$D$3*5598)/(I12-J12))-1000*0.0017)/(F12-2))</f>
        <v>3.7502897374138464</v>
      </c>
      <c r="L12" t="s">
        <v>243</v>
      </c>
    </row>
    <row r="13" spans="1:23" x14ac:dyDescent="0.2">
      <c r="A13" t="str">
        <v>CTD-001</v>
      </c>
      <c r="B13">
        <v>9</v>
      </c>
      <c r="C13" t="str">
        <v>No problems noted</v>
      </c>
      <c r="D13">
        <v>140</v>
      </c>
      <c r="E13" s="29">
        <v>316</v>
      </c>
      <c r="F13">
        <f>LOOKUP(E12,'++OxygenParameters++'!A:A,'++OxygenParameters++'!B:B)</f>
        <v>132.76</v>
      </c>
      <c r="G13">
        <v>0.63049999999999995</v>
      </c>
      <c r="H13">
        <v>1</v>
      </c>
      <c r="I13">
        <f t="shared" si="0"/>
        <v>0.5648333333333333</v>
      </c>
      <c r="J13">
        <f t="shared" si="1"/>
        <v>5.0000000000000044E-4</v>
      </c>
      <c r="K13" s="10">
        <f t="shared" si="2"/>
        <v>4.7662829707266354</v>
      </c>
    </row>
    <row r="14" spans="1:23" x14ac:dyDescent="0.2">
      <c r="A14" t="str">
        <v>CTD-001</v>
      </c>
      <c r="B14">
        <v>13</v>
      </c>
      <c r="C14" t="str">
        <v>No problems noted</v>
      </c>
      <c r="D14">
        <v>100</v>
      </c>
      <c r="E14" s="29">
        <v>317</v>
      </c>
      <c r="F14">
        <f>LOOKUP(E13,'++OxygenParameters++'!A:A,'++OxygenParameters++'!B:B)</f>
        <v>145.56</v>
      </c>
      <c r="G14">
        <v>0.76500000000000001</v>
      </c>
      <c r="H14">
        <v>1</v>
      </c>
      <c r="I14">
        <f t="shared" si="0"/>
        <v>0.5648333333333333</v>
      </c>
      <c r="J14">
        <f t="shared" si="1"/>
        <v>5.0000000000000044E-4</v>
      </c>
      <c r="K14" s="10">
        <f t="shared" si="2"/>
        <v>5.2706792445315527</v>
      </c>
    </row>
    <row r="15" spans="1:23" x14ac:dyDescent="0.2">
      <c r="A15" t="str">
        <v>CTD-001</v>
      </c>
      <c r="B15">
        <v>13</v>
      </c>
      <c r="C15" t="str">
        <v>No problems noted</v>
      </c>
      <c r="D15">
        <v>100</v>
      </c>
      <c r="E15" s="29">
        <v>321</v>
      </c>
      <c r="F15">
        <f>LOOKUP(E14,'++OxygenParameters++'!A:A,'++OxygenParameters++'!B:B)</f>
        <v>137.24</v>
      </c>
      <c r="G15">
        <v>0.79400000000000004</v>
      </c>
      <c r="H15">
        <v>1</v>
      </c>
      <c r="I15">
        <f t="shared" si="0"/>
        <v>0.5648333333333333</v>
      </c>
      <c r="J15">
        <f t="shared" si="1"/>
        <v>5.0000000000000044E-4</v>
      </c>
      <c r="K15" s="10">
        <f t="shared" si="2"/>
        <v>5.8076438413265601</v>
      </c>
    </row>
    <row r="16" spans="1:23" x14ac:dyDescent="0.2">
      <c r="A16" t="str">
        <v>CTD-001</v>
      </c>
      <c r="B16">
        <v>17</v>
      </c>
      <c r="C16" t="str">
        <v>No problems noted</v>
      </c>
      <c r="D16">
        <v>60</v>
      </c>
      <c r="E16" s="29">
        <v>318</v>
      </c>
      <c r="F16">
        <f>LOOKUP(E15,'++OxygenParameters++'!A:A,'++OxygenParameters++'!B:B)</f>
        <v>139.88999999999999</v>
      </c>
      <c r="G16">
        <v>0.80100000000000005</v>
      </c>
      <c r="H16">
        <v>1</v>
      </c>
      <c r="I16">
        <f t="shared" si="0"/>
        <v>0.5648333333333333</v>
      </c>
      <c r="J16">
        <f t="shared" si="1"/>
        <v>5.0000000000000044E-4</v>
      </c>
      <c r="K16" s="10">
        <f t="shared" si="2"/>
        <v>5.7463885819084926</v>
      </c>
      <c r="M16" s="2"/>
    </row>
    <row r="17" spans="1:13" x14ac:dyDescent="0.2">
      <c r="A17" t="str">
        <v>CTD-001</v>
      </c>
      <c r="B17">
        <v>22</v>
      </c>
      <c r="C17" t="str">
        <v>No problems noted</v>
      </c>
      <c r="D17">
        <v>20</v>
      </c>
      <c r="E17" s="29">
        <v>319</v>
      </c>
      <c r="F17">
        <f>LOOKUP(E16,'++OxygenParameters++'!A:A,'++OxygenParameters++'!B:B)</f>
        <v>127.31</v>
      </c>
      <c r="G17">
        <v>0.76649999999999996</v>
      </c>
      <c r="H17">
        <v>1</v>
      </c>
      <c r="I17">
        <f t="shared" si="0"/>
        <v>0.5648333333333333</v>
      </c>
      <c r="J17">
        <f t="shared" si="1"/>
        <v>5.0000000000000044E-4</v>
      </c>
      <c r="K17" s="10">
        <f t="shared" si="2"/>
        <v>6.0501688830012252</v>
      </c>
      <c r="M17" s="2"/>
    </row>
    <row r="18" spans="1:13" x14ac:dyDescent="0.2">
      <c r="A18" t="str">
        <v>CTD-001</v>
      </c>
      <c r="B18">
        <v>24</v>
      </c>
      <c r="C18" t="str">
        <v>No problems noted</v>
      </c>
      <c r="D18">
        <v>10</v>
      </c>
      <c r="E18" s="29">
        <v>320</v>
      </c>
      <c r="F18">
        <f>LOOKUP(E17,'++OxygenParameters++'!A:A,'++OxygenParameters++'!B:B)</f>
        <v>141.15</v>
      </c>
      <c r="G18">
        <v>0.68700000000000006</v>
      </c>
      <c r="H18">
        <v>1</v>
      </c>
      <c r="I18">
        <f t="shared" si="0"/>
        <v>0.5648333333333333</v>
      </c>
      <c r="J18">
        <f t="shared" si="1"/>
        <v>5.0000000000000044E-4</v>
      </c>
      <c r="K18" s="10">
        <f t="shared" si="2"/>
        <v>4.8816765532187558</v>
      </c>
      <c r="M18" s="2"/>
    </row>
    <row r="19" spans="1:13" x14ac:dyDescent="0.2">
      <c r="A19" t="str">
        <v>CTD-003</v>
      </c>
      <c r="B19">
        <v>1</v>
      </c>
      <c r="C19" t="str">
        <v>No problems noted</v>
      </c>
      <c r="D19">
        <v>220</v>
      </c>
      <c r="E19" s="29">
        <v>326</v>
      </c>
      <c r="F19">
        <f>LOOKUP(E18,'++OxygenParameters++'!A:A,'++OxygenParameters++'!B:B)</f>
        <v>131.1</v>
      </c>
      <c r="G19">
        <v>0.49199999999999999</v>
      </c>
      <c r="H19">
        <v>2</v>
      </c>
      <c r="I19">
        <f t="shared" si="0"/>
        <v>0.52524999999999999</v>
      </c>
      <c r="J19">
        <f t="shared" si="1"/>
        <v>-5.0000000000000044E-4</v>
      </c>
      <c r="K19" s="10">
        <f t="shared" si="2"/>
        <v>4.0487728607245819</v>
      </c>
      <c r="M19" s="2"/>
    </row>
    <row r="20" spans="1:13" x14ac:dyDescent="0.2">
      <c r="A20" t="str">
        <v>CTD-003</v>
      </c>
      <c r="B20">
        <v>5</v>
      </c>
      <c r="C20" t="str">
        <v>No problems noted</v>
      </c>
      <c r="D20">
        <v>180</v>
      </c>
      <c r="E20" s="29">
        <v>328</v>
      </c>
      <c r="F20">
        <f>LOOKUP(E19,'++OxygenParameters++'!A:A,'++OxygenParameters++'!B:B)</f>
        <v>145.12</v>
      </c>
      <c r="G20">
        <v>0.4975</v>
      </c>
      <c r="H20">
        <v>2</v>
      </c>
      <c r="I20">
        <f t="shared" si="0"/>
        <v>0.52524999999999999</v>
      </c>
      <c r="J20">
        <f t="shared" si="1"/>
        <v>-5.0000000000000044E-4</v>
      </c>
      <c r="K20" s="10">
        <f t="shared" si="2"/>
        <v>3.6930742156258449</v>
      </c>
      <c r="M20" s="2"/>
    </row>
    <row r="21" spans="1:13" x14ac:dyDescent="0.2">
      <c r="A21" t="str">
        <v>CTD-003</v>
      </c>
      <c r="B21">
        <v>6</v>
      </c>
      <c r="C21" t="str">
        <v>No problems noted</v>
      </c>
      <c r="D21">
        <v>180</v>
      </c>
      <c r="E21" s="29">
        <v>327</v>
      </c>
      <c r="F21">
        <f>LOOKUP(E20,'++OxygenParameters++'!A:A,'++OxygenParameters++'!B:B)</f>
        <v>132.37</v>
      </c>
      <c r="G21">
        <v>0.47299999999999998</v>
      </c>
      <c r="H21">
        <v>2</v>
      </c>
      <c r="I21">
        <f t="shared" si="0"/>
        <v>0.52524999999999999</v>
      </c>
      <c r="J21">
        <f t="shared" si="1"/>
        <v>-5.0000000000000044E-4</v>
      </c>
      <c r="K21" s="10">
        <f t="shared" si="2"/>
        <v>3.8541539349707739</v>
      </c>
      <c r="M21" s="2"/>
    </row>
    <row r="22" spans="1:13" x14ac:dyDescent="0.2">
      <c r="A22" t="str">
        <v>CTD-003</v>
      </c>
      <c r="B22">
        <v>9</v>
      </c>
      <c r="C22" t="str">
        <v>No problems noted</v>
      </c>
      <c r="D22">
        <v>140</v>
      </c>
      <c r="E22" s="29">
        <v>329</v>
      </c>
      <c r="F22">
        <f>LOOKUP(E21,'++OxygenParameters++'!A:A,'++OxygenParameters++'!B:B)</f>
        <v>128.91999999999999</v>
      </c>
      <c r="G22">
        <v>0.60899999999999999</v>
      </c>
      <c r="H22">
        <v>2</v>
      </c>
      <c r="I22">
        <f t="shared" si="0"/>
        <v>0.52524999999999999</v>
      </c>
      <c r="J22">
        <f t="shared" si="1"/>
        <v>-5.0000000000000044E-4</v>
      </c>
      <c r="K22" s="10">
        <f t="shared" si="2"/>
        <v>5.0998584706103971</v>
      </c>
    </row>
    <row r="23" spans="1:13" x14ac:dyDescent="0.2">
      <c r="A23" t="str">
        <v>CTD-003</v>
      </c>
      <c r="B23">
        <v>13</v>
      </c>
      <c r="C23" t="str">
        <v>Notes/Other</v>
      </c>
      <c r="D23">
        <v>100</v>
      </c>
      <c r="E23" s="29">
        <v>330</v>
      </c>
      <c r="F23">
        <f>LOOKUP(E22,'++OxygenParameters++'!A:A,'++OxygenParameters++'!B:B)</f>
        <v>140.59</v>
      </c>
      <c r="G23">
        <v>0.75049999999999994</v>
      </c>
      <c r="H23">
        <v>2</v>
      </c>
      <c r="I23">
        <f t="shared" si="0"/>
        <v>0.52524999999999999</v>
      </c>
      <c r="J23">
        <f t="shared" si="1"/>
        <v>-5.0000000000000044E-4</v>
      </c>
      <c r="K23" s="10">
        <f t="shared" si="2"/>
        <v>5.7575455018286359</v>
      </c>
    </row>
    <row r="24" spans="1:13" x14ac:dyDescent="0.2">
      <c r="A24" t="str">
        <v>CTD-003</v>
      </c>
      <c r="B24">
        <v>17</v>
      </c>
      <c r="C24" t="str">
        <v>Notes/Other</v>
      </c>
      <c r="D24">
        <v>60</v>
      </c>
      <c r="E24" s="29">
        <v>331</v>
      </c>
      <c r="F24">
        <f>LOOKUP(E23,'++OxygenParameters++'!A:A,'++OxygenParameters++'!B:B)</f>
        <v>133.06</v>
      </c>
      <c r="G24">
        <v>0.90549999999999997</v>
      </c>
      <c r="H24">
        <v>2</v>
      </c>
      <c r="I24">
        <f t="shared" si="0"/>
        <v>0.52524999999999999</v>
      </c>
      <c r="J24">
        <f t="shared" si="1"/>
        <v>-5.0000000000000044E-4</v>
      </c>
      <c r="K24" s="10">
        <f t="shared" si="2"/>
        <v>7.3476022241993455</v>
      </c>
    </row>
    <row r="25" spans="1:13" x14ac:dyDescent="0.2">
      <c r="A25" t="str">
        <v>CTD-003</v>
      </c>
      <c r="B25">
        <v>22</v>
      </c>
      <c r="C25" t="str">
        <v>No problems noted</v>
      </c>
      <c r="D25">
        <v>20</v>
      </c>
      <c r="E25" s="29">
        <v>332</v>
      </c>
      <c r="F25">
        <f>LOOKUP(E24,'++OxygenParameters++'!A:A,'++OxygenParameters++'!B:B)</f>
        <v>146.19999999999999</v>
      </c>
      <c r="G25">
        <v>0.70899999999999996</v>
      </c>
      <c r="H25">
        <v>2</v>
      </c>
      <c r="I25">
        <f t="shared" si="0"/>
        <v>0.52524999999999999</v>
      </c>
      <c r="J25">
        <f t="shared" si="1"/>
        <v>-5.0000000000000044E-4</v>
      </c>
      <c r="K25" s="10">
        <f t="shared" si="2"/>
        <v>5.227118580351827</v>
      </c>
    </row>
    <row r="26" spans="1:13" x14ac:dyDescent="0.2">
      <c r="A26" t="str">
        <v>CTD-003</v>
      </c>
      <c r="B26">
        <v>22</v>
      </c>
      <c r="C26" t="str">
        <v>No problems noted</v>
      </c>
      <c r="D26">
        <v>20</v>
      </c>
      <c r="E26" s="29">
        <v>335</v>
      </c>
      <c r="F26">
        <f>LOOKUP(E25,'++OxygenParameters++'!A:A,'++OxygenParameters++'!B:B)</f>
        <v>131.41</v>
      </c>
      <c r="G26">
        <v>0.70599999999999996</v>
      </c>
      <c r="H26">
        <v>2</v>
      </c>
      <c r="I26">
        <f t="shared" si="0"/>
        <v>0.52524999999999999</v>
      </c>
      <c r="J26">
        <f t="shared" si="1"/>
        <v>-5.0000000000000044E-4</v>
      </c>
      <c r="K26" s="10">
        <f t="shared" si="2"/>
        <v>5.7998315850461886</v>
      </c>
    </row>
    <row r="27" spans="1:13" x14ac:dyDescent="0.2">
      <c r="A27" t="str">
        <v>J2-1341</v>
      </c>
      <c r="B27" t="str">
        <v>Forward Starboard</v>
      </c>
      <c r="C27" t="str">
        <v>No problems noted</v>
      </c>
      <c r="D27">
        <v>2606</v>
      </c>
      <c r="E27" s="29">
        <v>324</v>
      </c>
      <c r="F27">
        <f>LOOKUP(E26,'++OxygenParameters++'!A:A,'++OxygenParameters++'!B:B)</f>
        <v>129.63999999999999</v>
      </c>
      <c r="G27">
        <v>0.22950000000000001</v>
      </c>
      <c r="H27">
        <v>2</v>
      </c>
      <c r="I27">
        <f t="shared" si="0"/>
        <v>0.52524999999999999</v>
      </c>
      <c r="J27">
        <f t="shared" si="1"/>
        <v>-5.0000000000000044E-4</v>
      </c>
      <c r="K27" s="10">
        <f t="shared" si="2"/>
        <v>1.9053264106297543</v>
      </c>
    </row>
    <row r="28" spans="1:13" x14ac:dyDescent="0.2">
      <c r="A28" t="str">
        <v>J2-1341</v>
      </c>
      <c r="B28" t="str">
        <v>Forward Starboard</v>
      </c>
      <c r="C28" t="str">
        <v>No problems noted</v>
      </c>
      <c r="D28">
        <v>2606</v>
      </c>
      <c r="E28" s="29">
        <v>325</v>
      </c>
      <c r="F28">
        <f>LOOKUP(E27,'++OxygenParameters++'!A:A,'++OxygenParameters++'!B:B)</f>
        <v>136.19999999999999</v>
      </c>
      <c r="G28">
        <v>0.2145</v>
      </c>
      <c r="H28">
        <v>2</v>
      </c>
      <c r="I28">
        <f t="shared" si="0"/>
        <v>0.52524999999999999</v>
      </c>
      <c r="J28">
        <f t="shared" si="1"/>
        <v>-5.0000000000000044E-4</v>
      </c>
      <c r="K28" s="10">
        <f t="shared" si="2"/>
        <v>1.6931773004713304</v>
      </c>
    </row>
    <row r="29" spans="1:13" x14ac:dyDescent="0.2">
      <c r="A29" t="str">
        <v>J2-1341</v>
      </c>
      <c r="B29" t="str">
        <v>Aft Starboard</v>
      </c>
      <c r="C29" t="str">
        <v>Leaking,Ran out of water during sampling</v>
      </c>
      <c r="D29">
        <v>2606</v>
      </c>
      <c r="E29" s="29">
        <v>322</v>
      </c>
      <c r="F29">
        <f>LOOKUP(E28,'++OxygenParameters++'!A:A,'++OxygenParameters++'!B:B)</f>
        <v>126.81</v>
      </c>
      <c r="G29">
        <v>0.45250000000000001</v>
      </c>
      <c r="H29">
        <v>2</v>
      </c>
      <c r="I29">
        <f t="shared" si="0"/>
        <v>0.52524999999999999</v>
      </c>
      <c r="J29">
        <f t="shared" si="1"/>
        <v>-5.0000000000000044E-4</v>
      </c>
      <c r="K29" s="10">
        <f t="shared" si="2"/>
        <v>3.8509604498981114</v>
      </c>
    </row>
    <row r="30" spans="1:13" x14ac:dyDescent="0.2">
      <c r="A30" t="str">
        <v>CTD-005</v>
      </c>
      <c r="B30">
        <v>1</v>
      </c>
      <c r="C30" t="str">
        <v>No problems noted</v>
      </c>
      <c r="D30">
        <v>220</v>
      </c>
      <c r="E30" s="29">
        <v>313</v>
      </c>
      <c r="F30">
        <f>LOOKUP(E29,'++OxygenParameters++'!A:A,'++OxygenParameters++'!B:B)</f>
        <v>128.54</v>
      </c>
      <c r="G30">
        <v>0.2495</v>
      </c>
      <c r="H30">
        <v>2</v>
      </c>
      <c r="I30">
        <f t="shared" si="0"/>
        <v>0.52524999999999999</v>
      </c>
      <c r="J30">
        <f t="shared" si="1"/>
        <v>-5.0000000000000044E-4</v>
      </c>
      <c r="K30" s="10">
        <f t="shared" ref="K30:K64" si="3">(((((G30-J30)*$D$4*$D$3*5598)/(I30-J30))-1000*0.0017)/(F30-2))</f>
        <v>2.0901782479228239</v>
      </c>
    </row>
    <row r="31" spans="1:13" x14ac:dyDescent="0.2">
      <c r="A31" t="str">
        <v>CTD-005</v>
      </c>
      <c r="B31">
        <v>7</v>
      </c>
      <c r="C31" t="str">
        <v>No problems noted</v>
      </c>
      <c r="D31">
        <v>160</v>
      </c>
      <c r="E31" s="29">
        <v>314</v>
      </c>
      <c r="F31">
        <f>LOOKUP(E30,'++OxygenParameters++'!A:A,'++OxygenParameters++'!B:B)</f>
        <v>138.97</v>
      </c>
      <c r="G31">
        <v>0.2555</v>
      </c>
      <c r="H31">
        <v>2</v>
      </c>
      <c r="I31">
        <f t="shared" si="0"/>
        <v>0.52524999999999999</v>
      </c>
      <c r="J31">
        <f t="shared" si="1"/>
        <v>-5.0000000000000044E-4</v>
      </c>
      <c r="K31" s="10">
        <f t="shared" si="3"/>
        <v>1.9776574667734965</v>
      </c>
    </row>
    <row r="32" spans="1:13" x14ac:dyDescent="0.2">
      <c r="A32" t="str">
        <v>CTD-005</v>
      </c>
      <c r="B32">
        <v>11</v>
      </c>
      <c r="C32" t="str">
        <v>No problems noted</v>
      </c>
      <c r="D32">
        <v>120</v>
      </c>
      <c r="E32" s="29">
        <v>315</v>
      </c>
      <c r="F32">
        <f>LOOKUP(E31,'++OxygenParameters++'!A:A,'++OxygenParameters++'!B:B)</f>
        <v>134.46</v>
      </c>
      <c r="G32">
        <v>0.29799999999999999</v>
      </c>
      <c r="H32">
        <v>2</v>
      </c>
      <c r="I32">
        <f t="shared" si="0"/>
        <v>0.52524999999999999</v>
      </c>
      <c r="J32">
        <f t="shared" si="1"/>
        <v>-5.0000000000000044E-4</v>
      </c>
      <c r="K32" s="10">
        <f t="shared" si="3"/>
        <v>2.3866241858495538</v>
      </c>
    </row>
    <row r="33" spans="1:12" x14ac:dyDescent="0.2">
      <c r="A33" t="str">
        <v>CTD-005</v>
      </c>
      <c r="B33">
        <v>11</v>
      </c>
      <c r="C33" t="str">
        <v>No problems noted</v>
      </c>
      <c r="D33">
        <v>120</v>
      </c>
      <c r="E33" s="29">
        <v>319</v>
      </c>
      <c r="F33">
        <f>LOOKUP(E32,'++OxygenParameters++'!A:A,'++OxygenParameters++'!B:B)</f>
        <v>132.76</v>
      </c>
      <c r="G33">
        <v>0.32500000000000001</v>
      </c>
      <c r="H33">
        <v>2</v>
      </c>
      <c r="I33">
        <f t="shared" si="0"/>
        <v>0.52524999999999999</v>
      </c>
      <c r="J33">
        <f t="shared" si="1"/>
        <v>-5.0000000000000044E-4</v>
      </c>
      <c r="K33" s="10">
        <f t="shared" si="3"/>
        <v>2.6375105877239577</v>
      </c>
    </row>
    <row r="34" spans="1:12" x14ac:dyDescent="0.2">
      <c r="A34" t="str">
        <v>CTD-005</v>
      </c>
      <c r="B34">
        <v>14</v>
      </c>
      <c r="C34" t="str">
        <v>No problems noted</v>
      </c>
      <c r="D34">
        <v>100</v>
      </c>
      <c r="E34" s="29">
        <v>316</v>
      </c>
      <c r="F34">
        <f>LOOKUP(E33,'++OxygenParameters++'!A:A,'++OxygenParameters++'!B:B)</f>
        <v>141.15</v>
      </c>
      <c r="G34">
        <v>0.35249999999999998</v>
      </c>
      <c r="H34">
        <v>2</v>
      </c>
      <c r="I34">
        <f t="shared" si="0"/>
        <v>0.52524999999999999</v>
      </c>
      <c r="J34">
        <f t="shared" si="1"/>
        <v>-5.0000000000000044E-4</v>
      </c>
      <c r="K34" s="10">
        <f t="shared" si="3"/>
        <v>2.6889106112462922</v>
      </c>
    </row>
    <row r="35" spans="1:12" x14ac:dyDescent="0.2">
      <c r="A35" t="str">
        <v>CTD-005</v>
      </c>
      <c r="B35">
        <v>17</v>
      </c>
      <c r="C35" t="str">
        <v>No problems noted</v>
      </c>
      <c r="D35">
        <v>60</v>
      </c>
      <c r="E35" s="29">
        <v>317</v>
      </c>
      <c r="F35">
        <f>LOOKUP(E34,'++OxygenParameters++'!A:A,'++OxygenParameters++'!B:B)</f>
        <v>145.56</v>
      </c>
      <c r="G35">
        <v>0.53349999999999997</v>
      </c>
      <c r="H35">
        <v>2</v>
      </c>
      <c r="I35">
        <f t="shared" si="0"/>
        <v>0.52524999999999999</v>
      </c>
      <c r="J35">
        <f t="shared" si="1"/>
        <v>-5.0000000000000044E-4</v>
      </c>
      <c r="K35" s="10">
        <f t="shared" si="3"/>
        <v>3.9487622466650958</v>
      </c>
    </row>
    <row r="36" spans="1:12" x14ac:dyDescent="0.2">
      <c r="A36" t="str">
        <v>CTD-005</v>
      </c>
      <c r="B36">
        <v>19</v>
      </c>
      <c r="C36" t="str">
        <v>No problems noted</v>
      </c>
      <c r="D36">
        <v>40</v>
      </c>
      <c r="E36" s="29">
        <v>318</v>
      </c>
      <c r="F36">
        <f>LOOKUP(E35,'++OxygenParameters++'!A:A,'++OxygenParameters++'!B:B)</f>
        <v>137.24</v>
      </c>
      <c r="G36">
        <v>0.54849999999999999</v>
      </c>
      <c r="H36">
        <v>2</v>
      </c>
      <c r="I36">
        <f t="shared" si="0"/>
        <v>0.52524999999999999</v>
      </c>
      <c r="J36">
        <f t="shared" si="1"/>
        <v>-5.0000000000000044E-4</v>
      </c>
      <c r="K36" s="10">
        <f t="shared" si="3"/>
        <v>4.3097883574443232</v>
      </c>
    </row>
    <row r="37" spans="1:12" x14ac:dyDescent="0.2">
      <c r="A37" t="str">
        <v>CTD-005</v>
      </c>
      <c r="B37">
        <v>21</v>
      </c>
      <c r="C37" t="str">
        <v>No problems noted</v>
      </c>
      <c r="D37">
        <v>20</v>
      </c>
      <c r="E37" s="29">
        <v>320</v>
      </c>
      <c r="F37">
        <f>LOOKUP(E36,'++OxygenParameters++'!A:A,'++OxygenParameters++'!B:B)</f>
        <v>127.31</v>
      </c>
      <c r="G37">
        <v>0.71699999999999997</v>
      </c>
      <c r="H37">
        <v>2</v>
      </c>
      <c r="I37">
        <f t="shared" si="0"/>
        <v>0.52524999999999999</v>
      </c>
      <c r="J37">
        <f t="shared" si="1"/>
        <v>-5.0000000000000044E-4</v>
      </c>
      <c r="K37" s="10">
        <f t="shared" si="3"/>
        <v>6.0830629340234799</v>
      </c>
    </row>
    <row r="38" spans="1:12" x14ac:dyDescent="0.2">
      <c r="A38" t="str">
        <v>CTD-005</v>
      </c>
      <c r="B38">
        <v>23</v>
      </c>
      <c r="C38" t="str">
        <v>No problems noted</v>
      </c>
      <c r="D38">
        <v>10</v>
      </c>
      <c r="E38" s="29">
        <v>321</v>
      </c>
      <c r="F38">
        <f>LOOKUP(E37,'++OxygenParameters++'!A:A,'++OxygenParameters++'!B:B)</f>
        <v>131.1</v>
      </c>
      <c r="G38">
        <v>0.84199999999999997</v>
      </c>
      <c r="H38">
        <v>2</v>
      </c>
      <c r="I38">
        <f t="shared" si="0"/>
        <v>0.52524999999999999</v>
      </c>
      <c r="J38">
        <f t="shared" si="1"/>
        <v>-5.0000000000000044E-4</v>
      </c>
      <c r="K38" s="10">
        <f t="shared" si="3"/>
        <v>6.9354314020802423</v>
      </c>
    </row>
    <row r="39" spans="1:12" x14ac:dyDescent="0.2">
      <c r="A39" t="str">
        <v>J2-1347</v>
      </c>
      <c r="B39" t="str">
        <v>Forward Starboard</v>
      </c>
      <c r="C39" t="str">
        <v>No problems noted</v>
      </c>
      <c r="D39">
        <v>2900</v>
      </c>
      <c r="E39" s="29">
        <v>333</v>
      </c>
      <c r="F39">
        <f>LOOKUP(E38,'++OxygenParameters++'!A:A,'++OxygenParameters++'!B:B)</f>
        <v>139.88999999999999</v>
      </c>
      <c r="G39">
        <v>0.27</v>
      </c>
      <c r="H39">
        <v>2</v>
      </c>
      <c r="I39">
        <f t="shared" si="0"/>
        <v>0.52524999999999999</v>
      </c>
      <c r="J39">
        <f t="shared" si="1"/>
        <v>-5.0000000000000044E-4</v>
      </c>
      <c r="K39" s="10">
        <f t="shared" si="3"/>
        <v>2.0764292569621494</v>
      </c>
    </row>
    <row r="40" spans="1:12" x14ac:dyDescent="0.2">
      <c r="A40" t="str">
        <v>J2-1347</v>
      </c>
      <c r="B40" t="str">
        <v>Forward Starboard</v>
      </c>
      <c r="C40" t="str">
        <v>No problems noted</v>
      </c>
      <c r="D40">
        <v>2900</v>
      </c>
      <c r="E40" s="29">
        <v>334</v>
      </c>
      <c r="F40">
        <f>LOOKUP(E39,'++OxygenParameters++'!A:A,'++OxygenParameters++'!B:B)</f>
        <v>136.33000000000001</v>
      </c>
      <c r="G40">
        <v>0.28199999999999997</v>
      </c>
      <c r="H40">
        <v>2</v>
      </c>
      <c r="I40">
        <f t="shared" si="0"/>
        <v>0.52524999999999999</v>
      </c>
      <c r="J40">
        <f t="shared" si="1"/>
        <v>-5.0000000000000044E-4</v>
      </c>
      <c r="K40" s="10">
        <f t="shared" si="3"/>
        <v>2.2265763843231898</v>
      </c>
    </row>
    <row r="41" spans="1:12" x14ac:dyDescent="0.2">
      <c r="A41" t="str">
        <v>J2-1347</v>
      </c>
      <c r="B41" t="str">
        <v>Aft Starboard</v>
      </c>
      <c r="C41" t="str">
        <v>No problems noted</v>
      </c>
      <c r="D41">
        <v>2900</v>
      </c>
      <c r="E41" s="29">
        <v>323</v>
      </c>
      <c r="F41">
        <f>LOOKUP(E40,'++OxygenParameters++'!A:A,'++OxygenParameters++'!B:B)</f>
        <v>145.01</v>
      </c>
      <c r="G41" s="8">
        <v>0.28050000000000003</v>
      </c>
      <c r="H41">
        <v>2</v>
      </c>
      <c r="I41">
        <f t="shared" si="0"/>
        <v>0.52524999999999999</v>
      </c>
      <c r="J41">
        <f t="shared" si="1"/>
        <v>-5.0000000000000044E-4</v>
      </c>
      <c r="K41" s="10">
        <f t="shared" si="3"/>
        <v>2.0802661266567468</v>
      </c>
    </row>
    <row r="42" spans="1:12" x14ac:dyDescent="0.2">
      <c r="A42" t="str">
        <v>J2-1347</v>
      </c>
      <c r="B42" t="str">
        <v>Aft Starboard</v>
      </c>
      <c r="C42" t="str">
        <v>No problems noted</v>
      </c>
      <c r="D42">
        <v>2900</v>
      </c>
      <c r="E42" s="29">
        <v>336</v>
      </c>
      <c r="F42">
        <f>LOOKUP(E41,'++OxygenParameters++'!A:A,'++OxygenParameters++'!B:B)</f>
        <v>144.28</v>
      </c>
      <c r="G42" s="8">
        <v>0.26300000000000001</v>
      </c>
      <c r="H42">
        <v>2</v>
      </c>
      <c r="I42">
        <f t="shared" si="0"/>
        <v>0.52524999999999999</v>
      </c>
      <c r="J42">
        <f t="shared" si="1"/>
        <v>-5.0000000000000044E-4</v>
      </c>
      <c r="K42" s="10">
        <f t="shared" si="3"/>
        <v>1.9599766508907119</v>
      </c>
    </row>
    <row r="43" spans="1:12" x14ac:dyDescent="0.2">
      <c r="A43" t="str">
        <v>CTD-006</v>
      </c>
      <c r="B43">
        <v>5</v>
      </c>
      <c r="C43" t="str">
        <v>No problems noted</v>
      </c>
      <c r="D43">
        <v>200</v>
      </c>
      <c r="E43" s="29">
        <v>315</v>
      </c>
      <c r="F43">
        <f>LOOKUP(E43,'++OxygenParameters++'!A:A,'++OxygenParameters++'!B:B)</f>
        <v>132.76</v>
      </c>
      <c r="G43" s="8">
        <v>0.35499999999999998</v>
      </c>
      <c r="H43">
        <v>3</v>
      </c>
      <c r="I43">
        <f t="shared" si="0"/>
        <v>0.50987499999999997</v>
      </c>
      <c r="J43">
        <f t="shared" si="1"/>
        <v>2.5000000000000022E-3</v>
      </c>
      <c r="K43" s="10">
        <f t="shared" si="3"/>
        <v>2.96132146435066</v>
      </c>
      <c r="L43" t="s">
        <v>368</v>
      </c>
    </row>
    <row r="44" spans="1:12" x14ac:dyDescent="0.2">
      <c r="A44" t="str">
        <v>CTD-006</v>
      </c>
      <c r="B44">
        <v>9</v>
      </c>
      <c r="C44" t="str">
        <v>No problems noted</v>
      </c>
      <c r="D44">
        <v>140</v>
      </c>
      <c r="E44" s="29">
        <v>316</v>
      </c>
      <c r="F44">
        <f>LOOKUP(E44,'++OxygenParameters++'!A:A,'++OxygenParameters++'!B:B)</f>
        <v>145.56</v>
      </c>
      <c r="G44" s="8">
        <v>0.33250000000000002</v>
      </c>
      <c r="H44">
        <v>3</v>
      </c>
      <c r="I44">
        <f t="shared" si="0"/>
        <v>0.50987499999999997</v>
      </c>
      <c r="J44">
        <f t="shared" si="1"/>
        <v>2.5000000000000022E-3</v>
      </c>
      <c r="K44" s="10">
        <f t="shared" si="3"/>
        <v>2.5243630605712584</v>
      </c>
    </row>
    <row r="45" spans="1:12" x14ac:dyDescent="0.2">
      <c r="A45" t="str">
        <v>CTD-006</v>
      </c>
      <c r="B45">
        <v>13</v>
      </c>
      <c r="C45" t="str">
        <v>No problems noted</v>
      </c>
      <c r="D45">
        <v>100</v>
      </c>
      <c r="E45" s="29">
        <v>317</v>
      </c>
      <c r="F45">
        <f>LOOKUP(E45,'++OxygenParameters++'!A:A,'++OxygenParameters++'!B:B)</f>
        <v>137.24</v>
      </c>
      <c r="G45" s="8">
        <v>0.3175</v>
      </c>
      <c r="H45">
        <v>3</v>
      </c>
      <c r="I45">
        <f t="shared" si="0"/>
        <v>0.50987499999999997</v>
      </c>
      <c r="J45">
        <f t="shared" si="1"/>
        <v>2.5000000000000022E-3</v>
      </c>
      <c r="K45" s="10">
        <f t="shared" si="3"/>
        <v>2.557288315885498</v>
      </c>
    </row>
    <row r="46" spans="1:12" x14ac:dyDescent="0.2">
      <c r="A46" t="str">
        <v>CTD-006</v>
      </c>
      <c r="B46">
        <v>18</v>
      </c>
      <c r="C46" t="str">
        <v>Leaking</v>
      </c>
      <c r="D46">
        <v>60</v>
      </c>
      <c r="E46" s="29">
        <v>318</v>
      </c>
      <c r="F46">
        <f>LOOKUP(E46,'++OxygenParameters++'!A:A,'++OxygenParameters++'!B:B)</f>
        <v>127.31</v>
      </c>
      <c r="G46" s="8">
        <v>0.44650000000000001</v>
      </c>
      <c r="H46">
        <v>3</v>
      </c>
      <c r="I46">
        <f t="shared" si="0"/>
        <v>0.50987499999999997</v>
      </c>
      <c r="J46">
        <f t="shared" si="1"/>
        <v>2.5000000000000022E-3</v>
      </c>
      <c r="K46" s="10">
        <f t="shared" si="3"/>
        <v>3.8957522815700885</v>
      </c>
    </row>
    <row r="47" spans="1:12" x14ac:dyDescent="0.2">
      <c r="A47" t="str">
        <v>CTD-006</v>
      </c>
      <c r="B47">
        <v>22</v>
      </c>
      <c r="C47" t="str">
        <v>No problems noted</v>
      </c>
      <c r="D47">
        <v>20</v>
      </c>
      <c r="E47" s="29">
        <v>319</v>
      </c>
      <c r="F47">
        <f>LOOKUP(E47,'++OxygenParameters++'!A:A,'++OxygenParameters++'!B:B)</f>
        <v>141.15</v>
      </c>
      <c r="G47" s="8">
        <v>0.92549999999999999</v>
      </c>
      <c r="H47">
        <v>3</v>
      </c>
      <c r="I47">
        <f t="shared" si="0"/>
        <v>0.50987499999999997</v>
      </c>
      <c r="J47">
        <f t="shared" si="1"/>
        <v>2.5000000000000022E-3</v>
      </c>
      <c r="K47" s="10">
        <f t="shared" si="3"/>
        <v>7.306287062805298</v>
      </c>
    </row>
    <row r="48" spans="1:12" x14ac:dyDescent="0.2">
      <c r="A48" t="str">
        <v>CTD-006</v>
      </c>
      <c r="B48">
        <v>22</v>
      </c>
      <c r="C48" t="str">
        <v>No problems noted</v>
      </c>
      <c r="D48">
        <v>20</v>
      </c>
      <c r="E48" s="29">
        <v>320</v>
      </c>
      <c r="F48">
        <f>LOOKUP(E48,'++OxygenParameters++'!A:A,'++OxygenParameters++'!B:B)</f>
        <v>131.1</v>
      </c>
      <c r="G48" s="8">
        <v>0.85699999999999998</v>
      </c>
      <c r="H48">
        <v>3</v>
      </c>
      <c r="I48">
        <f t="shared" si="0"/>
        <v>0.50987499999999997</v>
      </c>
      <c r="J48">
        <f t="shared" si="1"/>
        <v>2.5000000000000022E-3</v>
      </c>
      <c r="K48" s="10">
        <f t="shared" si="3"/>
        <v>7.2896360785310552</v>
      </c>
    </row>
    <row r="49" spans="1:12" x14ac:dyDescent="0.2">
      <c r="A49" t="str">
        <v>J2-1369</v>
      </c>
      <c r="B49" t="str">
        <v>Aft Starboard</v>
      </c>
      <c r="C49" t="str">
        <v>No problems noted</v>
      </c>
      <c r="D49">
        <v>2892</v>
      </c>
      <c r="E49" s="29">
        <v>313</v>
      </c>
      <c r="F49">
        <f>LOOKUP(E49,'++OxygenParameters++'!A:A,'++OxygenParameters++'!B:B)</f>
        <v>138.97</v>
      </c>
      <c r="G49">
        <v>0.27300000000000002</v>
      </c>
      <c r="H49">
        <v>3</v>
      </c>
      <c r="I49">
        <f t="shared" si="0"/>
        <v>0.50987499999999997</v>
      </c>
      <c r="J49">
        <f t="shared" si="1"/>
        <v>2.5000000000000022E-3</v>
      </c>
      <c r="K49" s="10">
        <f t="shared" si="3"/>
        <v>2.1665303891783974</v>
      </c>
    </row>
    <row r="50" spans="1:12" x14ac:dyDescent="0.2">
      <c r="A50" t="str">
        <v>J2-1369</v>
      </c>
      <c r="B50" t="str">
        <v>Forward Starboard</v>
      </c>
      <c r="C50" t="str">
        <v>No problems noted</v>
      </c>
      <c r="D50">
        <v>1500</v>
      </c>
      <c r="E50" s="29">
        <v>314</v>
      </c>
      <c r="F50">
        <f>LOOKUP(E50,'++OxygenParameters++'!A:A,'++OxygenParameters++'!B:B)</f>
        <v>134.46</v>
      </c>
      <c r="G50">
        <v>0.1125</v>
      </c>
      <c r="H50">
        <v>3</v>
      </c>
      <c r="I50">
        <f t="shared" si="0"/>
        <v>0.50987499999999997</v>
      </c>
      <c r="J50">
        <f t="shared" si="1"/>
        <v>2.5000000000000022E-3</v>
      </c>
      <c r="K50" s="10">
        <f t="shared" si="3"/>
        <v>0.90341124610098589</v>
      </c>
    </row>
    <row r="51" spans="1:12" x14ac:dyDescent="0.2">
      <c r="A51" t="str">
        <v>CTD-007</v>
      </c>
      <c r="B51">
        <v>3</v>
      </c>
      <c r="C51" t="str">
        <v>No problems noted</v>
      </c>
      <c r="D51">
        <v>2400</v>
      </c>
      <c r="E51" s="29">
        <v>321</v>
      </c>
      <c r="F51">
        <f>LOOKUP(E51,'++OxygenParameters++'!A:A,'++OxygenParameters++'!B:B)</f>
        <v>139.88999999999999</v>
      </c>
      <c r="G51">
        <v>0.224</v>
      </c>
      <c r="H51">
        <v>4</v>
      </c>
      <c r="I51">
        <f t="shared" si="0"/>
        <v>0.51683333333333337</v>
      </c>
      <c r="J51">
        <f t="shared" si="1"/>
        <v>0</v>
      </c>
      <c r="K51" s="10">
        <f t="shared" si="3"/>
        <v>1.7472051772874218</v>
      </c>
    </row>
    <row r="52" spans="1:12" x14ac:dyDescent="0.2">
      <c r="A52" t="str">
        <v>CTD-007</v>
      </c>
      <c r="B52">
        <v>3</v>
      </c>
      <c r="C52" t="str">
        <v>No problems noted</v>
      </c>
      <c r="D52">
        <v>2400</v>
      </c>
      <c r="E52" s="29">
        <v>326</v>
      </c>
      <c r="F52">
        <f>LOOKUP(E52,'++OxygenParameters++'!A:A,'++OxygenParameters++'!B:B)</f>
        <v>145.12</v>
      </c>
      <c r="G52">
        <v>0.26650000000000001</v>
      </c>
      <c r="H52">
        <v>4</v>
      </c>
      <c r="I52">
        <f t="shared" si="0"/>
        <v>0.51683333333333337</v>
      </c>
      <c r="J52">
        <f t="shared" si="1"/>
        <v>0</v>
      </c>
      <c r="K52" s="10">
        <f t="shared" si="3"/>
        <v>2.0049981622978508</v>
      </c>
    </row>
    <row r="53" spans="1:12" x14ac:dyDescent="0.2">
      <c r="A53" t="str">
        <v>CTD-007</v>
      </c>
      <c r="B53">
        <v>5</v>
      </c>
      <c r="C53" t="str">
        <v>No problems noted</v>
      </c>
      <c r="D53">
        <v>2000</v>
      </c>
      <c r="E53" s="29">
        <v>322</v>
      </c>
      <c r="F53">
        <f>LOOKUP(E53,'++OxygenParameters++'!A:A,'++OxygenParameters++'!B:B)</f>
        <v>128.54</v>
      </c>
      <c r="G53">
        <v>0.17699999999999999</v>
      </c>
      <c r="H53">
        <v>4</v>
      </c>
      <c r="I53">
        <f t="shared" si="0"/>
        <v>0.51683333333333337</v>
      </c>
      <c r="J53">
        <f t="shared" si="1"/>
        <v>0</v>
      </c>
      <c r="K53" s="10">
        <f t="shared" si="3"/>
        <v>1.5016184738175948</v>
      </c>
    </row>
    <row r="54" spans="1:12" x14ac:dyDescent="0.2">
      <c r="A54" t="str">
        <v>CTD-007</v>
      </c>
      <c r="B54">
        <v>6</v>
      </c>
      <c r="C54" t="str">
        <v>No problems noted</v>
      </c>
      <c r="D54">
        <v>1500</v>
      </c>
      <c r="E54" s="29">
        <v>323</v>
      </c>
      <c r="F54">
        <f>LOOKUP(E54,'++OxygenParameters++'!A:A,'++OxygenParameters++'!B:B)</f>
        <v>144.28</v>
      </c>
      <c r="G54">
        <v>8.2000000000000003E-2</v>
      </c>
      <c r="H54">
        <v>4</v>
      </c>
      <c r="I54">
        <f t="shared" si="0"/>
        <v>0.51683333333333337</v>
      </c>
      <c r="J54">
        <f t="shared" si="1"/>
        <v>0</v>
      </c>
      <c r="K54" s="10">
        <f t="shared" si="3"/>
        <v>0.61229285047483484</v>
      </c>
    </row>
    <row r="55" spans="1:12" x14ac:dyDescent="0.2">
      <c r="A55" t="str">
        <v>CTD-007</v>
      </c>
      <c r="B55">
        <v>8</v>
      </c>
      <c r="C55" t="str">
        <v>No problems noted</v>
      </c>
      <c r="D55">
        <v>900</v>
      </c>
      <c r="E55" s="29">
        <v>324</v>
      </c>
      <c r="F55">
        <f>LOOKUP(E55,'++OxygenParameters++'!A:A,'++OxygenParameters++'!B:B)</f>
        <v>136.19999999999999</v>
      </c>
      <c r="G55">
        <v>3.2000000000000001E-2</v>
      </c>
      <c r="H55">
        <v>4</v>
      </c>
      <c r="I55">
        <f t="shared" si="0"/>
        <v>0.51683333333333337</v>
      </c>
      <c r="J55">
        <f t="shared" si="1"/>
        <v>0</v>
      </c>
      <c r="K55" s="10">
        <f t="shared" si="3"/>
        <v>0.24560583552923415</v>
      </c>
    </row>
    <row r="56" spans="1:12" x14ac:dyDescent="0.2">
      <c r="A56" t="str">
        <v>CTD-007</v>
      </c>
      <c r="B56">
        <v>10</v>
      </c>
      <c r="C56" t="str">
        <v>Leaking,No problems noted</v>
      </c>
      <c r="D56">
        <v>750</v>
      </c>
      <c r="E56" s="29">
        <v>325</v>
      </c>
      <c r="F56">
        <f>LOOKUP(E56,'++OxygenParameters++'!A:A,'++OxygenParameters++'!B:B)</f>
        <v>126.81</v>
      </c>
      <c r="G56">
        <v>4.2000000000000003E-2</v>
      </c>
      <c r="H56">
        <v>4</v>
      </c>
      <c r="I56">
        <f t="shared" si="0"/>
        <v>0.51683333333333337</v>
      </c>
      <c r="J56">
        <f t="shared" si="1"/>
        <v>0</v>
      </c>
      <c r="K56" s="10">
        <f t="shared" si="3"/>
        <v>0.35086649992412849</v>
      </c>
    </row>
    <row r="57" spans="1:12" x14ac:dyDescent="0.2">
      <c r="A57" t="str">
        <v>CTD-007</v>
      </c>
      <c r="B57">
        <v>12</v>
      </c>
      <c r="C57" t="str">
        <v>No problems noted</v>
      </c>
      <c r="D57">
        <v>500</v>
      </c>
      <c r="E57" s="29">
        <v>313</v>
      </c>
      <c r="F57">
        <f>LOOKUP(E57,'++OxygenParameters++'!A:A,'++OxygenParameters++'!B:B)</f>
        <v>138.97</v>
      </c>
      <c r="G57">
        <v>0.1195</v>
      </c>
      <c r="H57">
        <v>4</v>
      </c>
      <c r="I57">
        <f t="shared" si="0"/>
        <v>0.51683333333333337</v>
      </c>
      <c r="J57">
        <f t="shared" si="1"/>
        <v>0</v>
      </c>
      <c r="K57" s="10">
        <f t="shared" si="3"/>
        <v>0.93257333353078542</v>
      </c>
    </row>
    <row r="58" spans="1:12" x14ac:dyDescent="0.2">
      <c r="A58" t="str">
        <v>CTD-007</v>
      </c>
      <c r="B58">
        <v>16</v>
      </c>
      <c r="C58" t="str">
        <v>No problems noted</v>
      </c>
      <c r="D58">
        <v>100</v>
      </c>
      <c r="E58" s="29">
        <v>314</v>
      </c>
      <c r="F58">
        <f>LOOKUP(E58,'++OxygenParameters++'!A:A,'++OxygenParameters++'!B:B)</f>
        <v>134.46</v>
      </c>
      <c r="G58">
        <v>0.78500000000000003</v>
      </c>
      <c r="H58">
        <v>4</v>
      </c>
      <c r="I58">
        <f t="shared" si="0"/>
        <v>0.51683333333333337</v>
      </c>
      <c r="J58">
        <f t="shared" si="1"/>
        <v>0</v>
      </c>
      <c r="K58" s="10">
        <f t="shared" si="3"/>
        <v>6.406164586360557</v>
      </c>
    </row>
    <row r="59" spans="1:12" x14ac:dyDescent="0.2">
      <c r="A59" t="str">
        <v>CTD-007</v>
      </c>
      <c r="B59">
        <v>17</v>
      </c>
      <c r="C59" t="str">
        <v>No problems noted</v>
      </c>
      <c r="D59">
        <v>100</v>
      </c>
      <c r="E59" s="29">
        <v>315</v>
      </c>
      <c r="F59">
        <f>LOOKUP(E59,'++OxygenParameters++'!A:A,'++OxygenParameters++'!B:B)</f>
        <v>132.76</v>
      </c>
      <c r="G59">
        <v>0.78149999999999997</v>
      </c>
      <c r="H59">
        <v>4</v>
      </c>
      <c r="I59">
        <f t="shared" si="0"/>
        <v>0.51683333333333337</v>
      </c>
      <c r="J59">
        <f t="shared" si="1"/>
        <v>0</v>
      </c>
      <c r="K59" s="10">
        <f t="shared" si="3"/>
        <v>6.4604587829205569</v>
      </c>
    </row>
    <row r="60" spans="1:12" x14ac:dyDescent="0.2">
      <c r="A60" t="str">
        <v>CTD-007</v>
      </c>
      <c r="B60">
        <v>18</v>
      </c>
      <c r="C60" t="str">
        <v>No problems noted</v>
      </c>
      <c r="D60">
        <v>75</v>
      </c>
      <c r="E60" s="29">
        <v>316</v>
      </c>
      <c r="F60">
        <f>LOOKUP(E60,'++OxygenParameters++'!A:A,'++OxygenParameters++'!B:B)</f>
        <v>145.56</v>
      </c>
      <c r="G60">
        <v>0.747</v>
      </c>
      <c r="H60">
        <v>4</v>
      </c>
      <c r="I60">
        <f t="shared" si="0"/>
        <v>0.51683333333333337</v>
      </c>
      <c r="J60">
        <f t="shared" si="1"/>
        <v>0</v>
      </c>
      <c r="K60" s="10">
        <f t="shared" si="3"/>
        <v>5.6241393922039</v>
      </c>
    </row>
    <row r="61" spans="1:12" x14ac:dyDescent="0.2">
      <c r="A61" t="str">
        <v>CTD-007</v>
      </c>
      <c r="B61">
        <v>20</v>
      </c>
      <c r="C61" t="str">
        <v>No problems noted</v>
      </c>
      <c r="D61">
        <v>60</v>
      </c>
      <c r="E61" s="29">
        <v>317</v>
      </c>
      <c r="F61">
        <f>LOOKUP(E61,'++OxygenParameters++'!A:A,'++OxygenParameters++'!B:B)</f>
        <v>137.24</v>
      </c>
      <c r="G61">
        <v>0.85899999999999999</v>
      </c>
      <c r="H61">
        <v>4</v>
      </c>
      <c r="I61">
        <f t="shared" si="0"/>
        <v>0.51683333333333337</v>
      </c>
      <c r="J61">
        <f t="shared" si="1"/>
        <v>0</v>
      </c>
      <c r="K61" s="10">
        <f t="shared" si="3"/>
        <v>6.8671436859869344</v>
      </c>
    </row>
    <row r="62" spans="1:12" x14ac:dyDescent="0.2">
      <c r="A62" t="str">
        <v>CTD-007</v>
      </c>
      <c r="B62">
        <v>21</v>
      </c>
      <c r="C62" t="str">
        <v>No problems noted</v>
      </c>
      <c r="D62">
        <v>40</v>
      </c>
      <c r="E62" s="29">
        <v>318</v>
      </c>
      <c r="F62">
        <f>LOOKUP(E62,'++OxygenParameters++'!A:A,'++OxygenParameters++'!B:B)</f>
        <v>127.31</v>
      </c>
      <c r="G62">
        <v>0.63</v>
      </c>
      <c r="H62">
        <v>4</v>
      </c>
      <c r="I62">
        <f t="shared" si="0"/>
        <v>0.51683333333333337</v>
      </c>
      <c r="J62">
        <f t="shared" si="1"/>
        <v>0</v>
      </c>
      <c r="K62" s="10">
        <f t="shared" si="3"/>
        <v>5.4319265647829935</v>
      </c>
      <c r="L62" t="s">
        <v>325</v>
      </c>
    </row>
    <row r="63" spans="1:12" x14ac:dyDescent="0.2">
      <c r="A63" t="str">
        <v>CTD-007</v>
      </c>
      <c r="B63">
        <v>23</v>
      </c>
      <c r="C63" t="str">
        <v>No problems noted</v>
      </c>
      <c r="D63">
        <v>20</v>
      </c>
      <c r="E63" s="29">
        <v>319</v>
      </c>
      <c r="F63">
        <f>LOOKUP(E63,'++OxygenParameters++'!A:A,'++OxygenParameters++'!B:B)</f>
        <v>141.15</v>
      </c>
      <c r="G63">
        <v>0.72250000000000003</v>
      </c>
      <c r="H63">
        <v>4</v>
      </c>
      <c r="I63">
        <f t="shared" si="0"/>
        <v>0.51683333333333337</v>
      </c>
      <c r="J63">
        <f t="shared" si="1"/>
        <v>0</v>
      </c>
      <c r="K63" s="10">
        <f t="shared" si="3"/>
        <v>5.6116755771642053</v>
      </c>
    </row>
    <row r="64" spans="1:12" x14ac:dyDescent="0.2">
      <c r="A64" t="str">
        <v>CTD-007</v>
      </c>
      <c r="B64">
        <v>24</v>
      </c>
      <c r="C64" t="str">
        <v>No problems noted</v>
      </c>
      <c r="D64">
        <v>10</v>
      </c>
      <c r="E64" s="29">
        <v>320</v>
      </c>
      <c r="F64">
        <f>LOOKUP(E64,'++OxygenParameters++'!A:A,'++OxygenParameters++'!B:B)</f>
        <v>131.1</v>
      </c>
      <c r="G64">
        <v>0.67200000000000004</v>
      </c>
      <c r="H64">
        <v>4</v>
      </c>
      <c r="I64">
        <f t="shared" si="0"/>
        <v>0.51683333333333337</v>
      </c>
      <c r="J64" s="30">
        <f t="shared" si="1"/>
        <v>0</v>
      </c>
      <c r="K64" s="10">
        <f t="shared" si="3"/>
        <v>5.6248362950308879</v>
      </c>
    </row>
  </sheetData>
  <mergeCells count="29">
    <mergeCell ref="L8:L9"/>
    <mergeCell ref="A6:B6"/>
    <mergeCell ref="A1:H1"/>
    <mergeCell ref="A2:B2"/>
    <mergeCell ref="W1:W2"/>
    <mergeCell ref="V1:V2"/>
    <mergeCell ref="N1:N2"/>
    <mergeCell ref="O1:O2"/>
    <mergeCell ref="P1:P2"/>
    <mergeCell ref="Q1:Q2"/>
    <mergeCell ref="R1:R2"/>
    <mergeCell ref="S1:S2"/>
    <mergeCell ref="T1:T2"/>
    <mergeCell ref="U1:U2"/>
    <mergeCell ref="D2:H2"/>
    <mergeCell ref="K8:K9"/>
    <mergeCell ref="A3:B3"/>
    <mergeCell ref="A4:B4"/>
    <mergeCell ref="J8:J9"/>
    <mergeCell ref="I8:I9"/>
    <mergeCell ref="D6:H6"/>
    <mergeCell ref="A8:A9"/>
    <mergeCell ref="B8:B9"/>
    <mergeCell ref="D8:D9"/>
    <mergeCell ref="E8:E9"/>
    <mergeCell ref="F8:F9"/>
    <mergeCell ref="G8:G9"/>
    <mergeCell ref="H8:H9"/>
    <mergeCell ref="C8:C9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CastList!$A$2</xm:f>
          </x14:formula1>
          <xm:sqref>D2:J2</xm:sqref>
        </x14:dataValidation>
        <x14:dataValidation type="list" allowBlank="1" showInputMessage="1" showErrorMessage="1" xr:uid="{00000000-0002-0000-0400-000001000000}">
          <x14:formula1>
            <xm:f>'++OxygenParameters++'!$F$2</xm:f>
          </x14:formula1>
          <xm:sqref>D3</xm:sqref>
        </x14:dataValidation>
        <x14:dataValidation type="list" allowBlank="1" showInputMessage="1" showErrorMessage="1" xr:uid="{00000000-0002-0000-0400-000002000000}">
          <x14:formula1>
            <xm:f>'++OxygenParameters++'!$E$2</xm:f>
          </x14:formula1>
          <xm:sqref>D4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rgb="FF00B050"/>
  </sheetPr>
  <dimension ref="A1:I44"/>
  <sheetViews>
    <sheetView workbookViewId="0">
      <selection activeCell="D45" sqref="D45"/>
    </sheetView>
  </sheetViews>
  <sheetFormatPr baseColWidth="10" defaultRowHeight="16" x14ac:dyDescent="0.2"/>
  <cols>
    <col min="1" max="3" width="9.83203125" customWidth="1"/>
    <col min="4" max="4" width="23.33203125" bestFit="1" customWidth="1"/>
    <col min="5" max="5" width="21" bestFit="1" customWidth="1"/>
    <col min="6" max="7" width="9.83203125" customWidth="1"/>
    <col min="8" max="8" width="11.33203125" customWidth="1"/>
    <col min="9" max="9" width="20.33203125" customWidth="1"/>
  </cols>
  <sheetData>
    <row r="1" spans="1:9" ht="17" customHeight="1" x14ac:dyDescent="0.2">
      <c r="A1" s="54" t="s">
        <v>12</v>
      </c>
      <c r="B1" s="54"/>
      <c r="C1" s="54"/>
      <c r="D1" s="54"/>
      <c r="E1" s="54"/>
      <c r="F1" s="54"/>
      <c r="G1" s="54"/>
      <c r="H1" s="54"/>
    </row>
    <row r="2" spans="1:9" x14ac:dyDescent="0.2">
      <c r="A2" s="55" t="s">
        <v>1</v>
      </c>
      <c r="B2" s="55"/>
      <c r="C2" s="61" t="s">
        <v>231</v>
      </c>
      <c r="D2" s="61"/>
      <c r="E2" s="61"/>
      <c r="F2" s="61"/>
      <c r="G2" s="61"/>
      <c r="H2" s="61"/>
    </row>
    <row r="3" spans="1:9" s="1" customFormat="1" x14ac:dyDescent="0.2">
      <c r="A3" s="60"/>
      <c r="B3" s="60"/>
      <c r="C3" s="61"/>
      <c r="D3" s="61"/>
      <c r="E3" s="61"/>
      <c r="F3" s="61"/>
      <c r="G3" s="61"/>
      <c r="H3" s="61"/>
    </row>
    <row r="4" spans="1:9" s="1" customFormat="1" x14ac:dyDescent="0.2">
      <c r="A4" s="60"/>
      <c r="B4" s="60"/>
      <c r="C4" s="61"/>
      <c r="D4" s="61"/>
      <c r="E4" s="61"/>
      <c r="F4" s="61"/>
      <c r="G4" s="61"/>
      <c r="H4" s="61"/>
    </row>
    <row r="5" spans="1:9" s="1" customFormat="1" ht="13" customHeight="1" x14ac:dyDescent="0.2">
      <c r="A5" s="27"/>
      <c r="B5" s="27"/>
    </row>
    <row r="6" spans="1:9" x14ac:dyDescent="0.2">
      <c r="A6" s="53" t="s">
        <v>4</v>
      </c>
      <c r="B6" s="53"/>
      <c r="C6" s="44"/>
      <c r="D6" s="44"/>
      <c r="E6" s="44"/>
      <c r="F6" s="44"/>
      <c r="G6" s="44"/>
      <c r="H6" s="44"/>
    </row>
    <row r="7" spans="1:9" ht="13" customHeight="1" x14ac:dyDescent="0.2"/>
    <row r="8" spans="1:9" ht="13" customHeight="1" x14ac:dyDescent="0.2">
      <c r="A8" s="45" t="s">
        <v>5</v>
      </c>
      <c r="B8" s="45" t="s">
        <v>7</v>
      </c>
      <c r="C8" s="45" t="s">
        <v>6</v>
      </c>
      <c r="D8" s="48" t="s">
        <v>281</v>
      </c>
      <c r="E8" s="62" t="s">
        <v>11</v>
      </c>
      <c r="F8" s="64" t="s">
        <v>9</v>
      </c>
      <c r="G8" s="48" t="s">
        <v>13</v>
      </c>
      <c r="H8" s="50" t="s">
        <v>10</v>
      </c>
      <c r="I8" s="52" t="s">
        <v>0</v>
      </c>
    </row>
    <row r="9" spans="1:9" ht="15" customHeight="1" x14ac:dyDescent="0.2">
      <c r="A9" s="45"/>
      <c r="B9" s="45"/>
      <c r="C9" s="45"/>
      <c r="D9" s="49"/>
      <c r="E9" s="63"/>
      <c r="F9" s="64"/>
      <c r="G9" s="49"/>
      <c r="H9" s="51"/>
      <c r="I9" s="52"/>
    </row>
    <row r="10" spans="1:9" x14ac:dyDescent="0.2">
      <c r="A10" s="8" t="str">
        <f>INDEX(SampleList!A:A,MATCH(E10,SampleList!Z:Z,0),1)</f>
        <v>CTD-001</v>
      </c>
      <c r="B10" s="8">
        <f>INDEX(SampleList!B:B,MATCH(E10,SampleList!Z:Z,0),1)</f>
        <v>13</v>
      </c>
      <c r="C10" s="8">
        <f>INDEX(SampleList!D:D,MATCH(E10,SampleList!Z:Z,0),1)</f>
        <v>100</v>
      </c>
      <c r="D10" t="s">
        <v>273</v>
      </c>
      <c r="E10" t="str" cm="1">
        <f t="array" ref="E10:E44">_xlfn._xlws.FILTER((SampleList!Z2:INDEX(SampleList!Z:Z, ROWS(SampleList!Z:Z))),(SampleList!Z2:INDEX(SampleList!Z:Z, ROWS(SampleList!Z:Z)))&lt;&gt;"")</f>
        <v>Cast 1- Niskin -13</v>
      </c>
      <c r="F10">
        <v>400</v>
      </c>
      <c r="G10">
        <v>10</v>
      </c>
      <c r="H10">
        <v>1000</v>
      </c>
      <c r="I10" t="s">
        <v>278</v>
      </c>
    </row>
    <row r="11" spans="1:9" x14ac:dyDescent="0.2">
      <c r="A11" s="8" t="str">
        <f>INDEX(SampleList!A:A,MATCH(E11,SampleList!Z:Z,0),1)</f>
        <v>CTD-001</v>
      </c>
      <c r="B11" s="8">
        <f>INDEX(SampleList!B:B,MATCH(E11,SampleList!Z:Z,0),1)</f>
        <v>15</v>
      </c>
      <c r="C11" s="8">
        <f>INDEX(SampleList!D:D,MATCH(E11,SampleList!Z:Z,0),1)</f>
        <v>80</v>
      </c>
      <c r="D11" t="s">
        <v>273</v>
      </c>
      <c r="E11" t="str">
        <v>Cast 1- Niskin-15</v>
      </c>
      <c r="F11">
        <v>500</v>
      </c>
      <c r="G11">
        <v>10</v>
      </c>
      <c r="H11">
        <v>1001</v>
      </c>
    </row>
    <row r="12" spans="1:9" x14ac:dyDescent="0.2">
      <c r="A12" s="8" t="str">
        <f>INDEX(SampleList!A:A,MATCH(E12,SampleList!Z:Z,0),1)</f>
        <v>CTD-001</v>
      </c>
      <c r="B12" s="8">
        <f>INDEX(SampleList!B:B,MATCH(E12,SampleList!Z:Z,0),1)</f>
        <v>17</v>
      </c>
      <c r="C12" s="8">
        <f>INDEX(SampleList!D:D,MATCH(E12,SampleList!Z:Z,0),1)</f>
        <v>60</v>
      </c>
      <c r="D12" t="s">
        <v>274</v>
      </c>
      <c r="E12" t="str">
        <v>Cast 1- Niskin-17</v>
      </c>
      <c r="F12">
        <v>500</v>
      </c>
      <c r="G12">
        <v>10</v>
      </c>
      <c r="H12">
        <v>1002</v>
      </c>
    </row>
    <row r="13" spans="1:9" x14ac:dyDescent="0.2">
      <c r="A13" s="8" t="str">
        <f>INDEX(SampleList!A:A,MATCH(E13,SampleList!Z:Z,0),1)</f>
        <v>CTD-001</v>
      </c>
      <c r="B13" s="8">
        <f>INDEX(SampleList!B:B,MATCH(E13,SampleList!Z:Z,0),1)</f>
        <v>19</v>
      </c>
      <c r="C13" s="8">
        <f>INDEX(SampleList!D:D,MATCH(E13,SampleList!Z:Z,0),1)</f>
        <v>40</v>
      </c>
      <c r="D13" t="s">
        <v>275</v>
      </c>
      <c r="E13" t="str">
        <v>Cast 1- Niskin-19</v>
      </c>
      <c r="F13">
        <v>500</v>
      </c>
      <c r="G13">
        <v>10</v>
      </c>
      <c r="H13">
        <v>1003</v>
      </c>
    </row>
    <row r="14" spans="1:9" x14ac:dyDescent="0.2">
      <c r="A14" s="8" t="str">
        <f>INDEX(SampleList!A:A,MATCH(E14,SampleList!Z:Z,0),1)</f>
        <v>CTD-001</v>
      </c>
      <c r="B14" s="8">
        <f>INDEX(SampleList!B:B,MATCH(E14,SampleList!Z:Z,0),1)</f>
        <v>21</v>
      </c>
      <c r="C14" s="8">
        <f>INDEX(SampleList!D:D,MATCH(E14,SampleList!Z:Z,0),1)</f>
        <v>20</v>
      </c>
      <c r="D14" t="s">
        <v>276</v>
      </c>
      <c r="E14" t="str">
        <v>Cast 1- Niskin-21</v>
      </c>
      <c r="F14">
        <v>500</v>
      </c>
      <c r="G14">
        <v>10</v>
      </c>
      <c r="H14">
        <v>1004</v>
      </c>
    </row>
    <row r="15" spans="1:9" x14ac:dyDescent="0.2">
      <c r="A15" s="8" t="str">
        <f>INDEX(SampleList!A:A,MATCH(E15,SampleList!Z:Z,0),1)</f>
        <v>CTD-001</v>
      </c>
      <c r="B15" s="8">
        <f>INDEX(SampleList!B:B,MATCH(E15,SampleList!Z:Z,0),1)</f>
        <v>23</v>
      </c>
      <c r="C15" s="8">
        <f>INDEX(SampleList!D:D,MATCH(E15,SampleList!Z:Z,0),1)</f>
        <v>10</v>
      </c>
      <c r="D15" t="s">
        <v>277</v>
      </c>
      <c r="E15" t="str">
        <v>Cast 1- Niskin-23</v>
      </c>
      <c r="F15">
        <v>500</v>
      </c>
      <c r="G15">
        <v>10</v>
      </c>
      <c r="H15">
        <v>1005</v>
      </c>
    </row>
    <row r="16" spans="1:9" x14ac:dyDescent="0.2">
      <c r="A16" s="8" t="str">
        <f>INDEX(SampleList!A:A,MATCH(E16,SampleList!Z:Z,0),1)</f>
        <v>CTD-003</v>
      </c>
      <c r="B16" s="8">
        <f>INDEX(SampleList!B:B,MATCH(E16,SampleList!Z:Z,0),1)</f>
        <v>13</v>
      </c>
      <c r="C16" s="8">
        <f>INDEX(SampleList!D:D,MATCH(E16,SampleList!Z:Z,0),1)</f>
        <v>100</v>
      </c>
      <c r="D16" t="s">
        <v>287</v>
      </c>
      <c r="E16" t="str">
        <v>Cast 3- Niskin 13</v>
      </c>
      <c r="F16">
        <v>500</v>
      </c>
      <c r="G16">
        <v>10</v>
      </c>
      <c r="H16">
        <v>1006</v>
      </c>
    </row>
    <row r="17" spans="1:8" x14ac:dyDescent="0.2">
      <c r="A17" s="8" t="str">
        <f>INDEX(SampleList!A:A,MATCH(E17,SampleList!Z:Z,0),1)</f>
        <v>CTD-003</v>
      </c>
      <c r="B17" s="8">
        <f>INDEX(SampleList!B:B,MATCH(E17,SampleList!Z:Z,0),1)</f>
        <v>17</v>
      </c>
      <c r="C17" s="8">
        <f>INDEX(SampleList!D:D,MATCH(E17,SampleList!Z:Z,0),1)</f>
        <v>60</v>
      </c>
      <c r="D17" t="s">
        <v>288</v>
      </c>
      <c r="E17" t="str">
        <v>Cast 3- Niskin 17</v>
      </c>
      <c r="F17">
        <v>500</v>
      </c>
      <c r="G17">
        <v>10</v>
      </c>
      <c r="H17">
        <v>1007</v>
      </c>
    </row>
    <row r="18" spans="1:8" x14ac:dyDescent="0.2">
      <c r="A18" s="8" t="str">
        <f>INDEX(SampleList!A:A,MATCH(E18,SampleList!Z:Z,0),1)</f>
        <v>CTD-003</v>
      </c>
      <c r="B18" s="8">
        <f>INDEX(SampleList!B:B,MATCH(E18,SampleList!Z:Z,0),1)</f>
        <v>19</v>
      </c>
      <c r="C18" s="8">
        <f>INDEX(SampleList!D:D,MATCH(E18,SampleList!Z:Z,0),1)</f>
        <v>40</v>
      </c>
      <c r="D18" t="s">
        <v>289</v>
      </c>
      <c r="E18" t="str">
        <v>Cast 3- Niskin 19</v>
      </c>
      <c r="F18">
        <v>500</v>
      </c>
      <c r="G18">
        <v>10</v>
      </c>
      <c r="H18">
        <v>1008</v>
      </c>
    </row>
    <row r="19" spans="1:8" x14ac:dyDescent="0.2">
      <c r="A19" s="8" t="str">
        <f>INDEX(SampleList!A:A,MATCH(E19,SampleList!Z:Z,0),1)</f>
        <v>CTD-003</v>
      </c>
      <c r="B19" s="8">
        <f>INDEX(SampleList!B:B,MATCH(E19,SampleList!Z:Z,0),1)</f>
        <v>21</v>
      </c>
      <c r="C19" s="8">
        <f>INDEX(SampleList!D:D,MATCH(E19,SampleList!Z:Z,0),1)</f>
        <v>20</v>
      </c>
      <c r="D19" t="s">
        <v>290</v>
      </c>
      <c r="E19" t="str">
        <v>Cast 3- Niskin 21</v>
      </c>
      <c r="F19">
        <v>500</v>
      </c>
      <c r="G19">
        <v>10</v>
      </c>
      <c r="H19">
        <v>1009</v>
      </c>
    </row>
    <row r="20" spans="1:8" x14ac:dyDescent="0.2">
      <c r="A20" s="8" t="str">
        <f>INDEX(SampleList!A:A,MATCH(E20,SampleList!Z:Z,0),1)</f>
        <v>CTD-005</v>
      </c>
      <c r="B20" s="8">
        <f>INDEX(SampleList!B:B,MATCH(E20,SampleList!Z:Z,0),1)</f>
        <v>14</v>
      </c>
      <c r="C20" s="8">
        <f>INDEX(SampleList!D:D,MATCH(E20,SampleList!Z:Z,0),1)</f>
        <v>100</v>
      </c>
      <c r="D20" t="s">
        <v>280</v>
      </c>
      <c r="E20" t="str">
        <v>Cast 5- Niskin 14</v>
      </c>
      <c r="F20">
        <v>500</v>
      </c>
      <c r="G20">
        <v>10</v>
      </c>
      <c r="H20">
        <v>1010</v>
      </c>
    </row>
    <row r="21" spans="1:8" x14ac:dyDescent="0.2">
      <c r="A21" s="8" t="str">
        <f>INDEX(SampleList!A:A,MATCH(E21,SampleList!Z:Z,0),1)</f>
        <v>CTD-005</v>
      </c>
      <c r="B21" s="8">
        <f>INDEX(SampleList!B:B,MATCH(E21,SampleList!Z:Z,0),1)</f>
        <v>15</v>
      </c>
      <c r="C21" s="8">
        <f>INDEX(SampleList!D:D,MATCH(E21,SampleList!Z:Z,0),1)</f>
        <v>80</v>
      </c>
      <c r="D21" t="s">
        <v>282</v>
      </c>
      <c r="E21" t="str">
        <v>Cast 5- Niskin 15</v>
      </c>
      <c r="F21">
        <v>500</v>
      </c>
      <c r="G21">
        <v>10</v>
      </c>
      <c r="H21">
        <v>1012</v>
      </c>
    </row>
    <row r="22" spans="1:8" x14ac:dyDescent="0.2">
      <c r="A22" s="8" t="str">
        <f>INDEX(SampleList!A:A,MATCH(E22,SampleList!Z:Z,0),1)</f>
        <v>CTD-005</v>
      </c>
      <c r="B22" s="8">
        <f>INDEX(SampleList!B:B,MATCH(E22,SampleList!Z:Z,0),1)</f>
        <v>17</v>
      </c>
      <c r="C22" s="8">
        <f>INDEX(SampleList!D:D,MATCH(E22,SampleList!Z:Z,0),1)</f>
        <v>60</v>
      </c>
      <c r="D22" t="s">
        <v>283</v>
      </c>
      <c r="E22" t="str">
        <v>Cast 5- Niskin 17</v>
      </c>
      <c r="F22">
        <v>500</v>
      </c>
      <c r="G22">
        <v>10</v>
      </c>
      <c r="H22">
        <v>1013</v>
      </c>
    </row>
    <row r="23" spans="1:8" x14ac:dyDescent="0.2">
      <c r="A23" s="8" t="str">
        <f>INDEX(SampleList!A:A,MATCH(E23,SampleList!Z:Z,0),1)</f>
        <v>CTD-005</v>
      </c>
      <c r="B23" s="8">
        <f>INDEX(SampleList!B:B,MATCH(E23,SampleList!Z:Z,0),1)</f>
        <v>19</v>
      </c>
      <c r="C23" s="8">
        <f>INDEX(SampleList!D:D,MATCH(E23,SampleList!Z:Z,0),1)</f>
        <v>40</v>
      </c>
      <c r="D23" t="s">
        <v>283</v>
      </c>
      <c r="E23" t="str">
        <v>Cast 5- Niskin 19</v>
      </c>
      <c r="F23">
        <v>500</v>
      </c>
      <c r="G23">
        <v>10</v>
      </c>
      <c r="H23">
        <v>1014</v>
      </c>
    </row>
    <row r="24" spans="1:8" x14ac:dyDescent="0.2">
      <c r="A24" s="8" t="str">
        <f>INDEX(SampleList!A:A,MATCH(E24,SampleList!Z:Z,0),1)</f>
        <v>CTD-005</v>
      </c>
      <c r="B24" s="8">
        <f>INDEX(SampleList!B:B,MATCH(E24,SampleList!Z:Z,0),1)</f>
        <v>20</v>
      </c>
      <c r="C24" s="8">
        <f>INDEX(SampleList!D:D,MATCH(E24,SampleList!Z:Z,0),1)</f>
        <v>40</v>
      </c>
      <c r="D24" t="s">
        <v>284</v>
      </c>
      <c r="E24" t="str">
        <v>Cast 5- Niskin 20</v>
      </c>
      <c r="F24">
        <v>500</v>
      </c>
      <c r="G24">
        <v>10</v>
      </c>
      <c r="H24">
        <v>1015</v>
      </c>
    </row>
    <row r="25" spans="1:8" x14ac:dyDescent="0.2">
      <c r="A25" s="8" t="str">
        <f>INDEX(SampleList!A:A,MATCH(E25,SampleList!Z:Z,0),1)</f>
        <v>CTD-005</v>
      </c>
      <c r="B25" s="8">
        <f>INDEX(SampleList!B:B,MATCH(E25,SampleList!Z:Z,0),1)</f>
        <v>21</v>
      </c>
      <c r="C25" s="8">
        <f>INDEX(SampleList!D:D,MATCH(E25,SampleList!Z:Z,0),1)</f>
        <v>20</v>
      </c>
      <c r="D25" t="s">
        <v>285</v>
      </c>
      <c r="E25" t="str">
        <v>Cast 5- Niskin 21</v>
      </c>
      <c r="F25">
        <v>500</v>
      </c>
      <c r="G25">
        <v>10</v>
      </c>
      <c r="H25">
        <v>1016</v>
      </c>
    </row>
    <row r="26" spans="1:8" x14ac:dyDescent="0.2">
      <c r="A26" s="8" t="str">
        <f>INDEX(SampleList!A:A,MATCH(E26,SampleList!Z:Z,0),1)</f>
        <v>CTD-005</v>
      </c>
      <c r="B26" s="8">
        <f>INDEX(SampleList!B:B,MATCH(E26,SampleList!Z:Z,0),1)</f>
        <v>23</v>
      </c>
      <c r="C26" s="8">
        <f>INDEX(SampleList!D:D,MATCH(E26,SampleList!Z:Z,0),1)</f>
        <v>10</v>
      </c>
      <c r="D26" t="s">
        <v>286</v>
      </c>
      <c r="E26" t="str">
        <v>Cast 5- Niskin 23</v>
      </c>
      <c r="F26">
        <v>500</v>
      </c>
      <c r="G26">
        <v>10</v>
      </c>
      <c r="H26">
        <v>1017</v>
      </c>
    </row>
    <row r="27" spans="1:8" x14ac:dyDescent="0.2">
      <c r="A27" s="8" t="str">
        <f>INDEX(SampleList!A:A,MATCH(E27,SampleList!Z:Z,0),1)</f>
        <v>CTD-006</v>
      </c>
      <c r="B27" s="8">
        <f>INDEX(SampleList!B:B,MATCH(E27,SampleList!Z:Z,0),1)</f>
        <v>1</v>
      </c>
      <c r="C27" s="8">
        <f>INDEX(SampleList!D:D,MATCH(E27,SampleList!Z:Z,0),1)</f>
        <v>560</v>
      </c>
      <c r="D27" t="s">
        <v>305</v>
      </c>
      <c r="E27" t="str">
        <v>Cast 6- Niskin 1</v>
      </c>
      <c r="F27">
        <v>500</v>
      </c>
      <c r="G27">
        <v>10</v>
      </c>
      <c r="H27">
        <v>1020</v>
      </c>
    </row>
    <row r="28" spans="1:8" x14ac:dyDescent="0.2">
      <c r="A28" s="8" t="str">
        <f>INDEX(SampleList!A:A,MATCH(E28,SampleList!Z:Z,0),1)</f>
        <v>CTD-006</v>
      </c>
      <c r="B28" s="8">
        <f>INDEX(SampleList!B:B,MATCH(E28,SampleList!Z:Z,0),1)</f>
        <v>3</v>
      </c>
      <c r="C28" s="8">
        <f>INDEX(SampleList!D:D,MATCH(E28,SampleList!Z:Z,0),1)</f>
        <v>400</v>
      </c>
      <c r="D28" t="s">
        <v>306</v>
      </c>
      <c r="E28" t="str">
        <v>Cast 6- Niskin 3</v>
      </c>
      <c r="F28">
        <v>500</v>
      </c>
      <c r="G28">
        <v>10</v>
      </c>
      <c r="H28">
        <v>1021</v>
      </c>
    </row>
    <row r="29" spans="1:8" x14ac:dyDescent="0.2">
      <c r="A29" s="8" t="str">
        <f>INDEX(SampleList!A:A,MATCH(E29,SampleList!Z:Z,0),1)</f>
        <v>CTD-006</v>
      </c>
      <c r="B29" s="8">
        <f>INDEX(SampleList!B:B,MATCH(E29,SampleList!Z:Z,0),1)</f>
        <v>5</v>
      </c>
      <c r="C29" s="8">
        <f>INDEX(SampleList!D:D,MATCH(E29,SampleList!Z:Z,0),1)</f>
        <v>200</v>
      </c>
      <c r="D29" t="s">
        <v>307</v>
      </c>
      <c r="E29" t="str">
        <v>Cast 6- Niskin 5</v>
      </c>
      <c r="F29">
        <v>500</v>
      </c>
      <c r="G29">
        <v>11</v>
      </c>
      <c r="H29">
        <v>1022</v>
      </c>
    </row>
    <row r="30" spans="1:8" x14ac:dyDescent="0.2">
      <c r="A30" s="8" t="str">
        <f>INDEX(SampleList!A:A,MATCH(E30,SampleList!Z:Z,0),1)</f>
        <v>CTD-006</v>
      </c>
      <c r="B30" s="8">
        <f>INDEX(SampleList!B:B,MATCH(E30,SampleList!Z:Z,0),1)</f>
        <v>13</v>
      </c>
      <c r="C30" s="8">
        <f>INDEX(SampleList!D:D,MATCH(E30,SampleList!Z:Z,0),1)</f>
        <v>100</v>
      </c>
      <c r="D30" t="s">
        <v>308</v>
      </c>
      <c r="E30" t="str">
        <v>Cast 6- Niskin 13</v>
      </c>
      <c r="F30">
        <v>500</v>
      </c>
      <c r="G30">
        <v>10</v>
      </c>
      <c r="H30">
        <v>1023</v>
      </c>
    </row>
    <row r="31" spans="1:8" x14ac:dyDescent="0.2">
      <c r="A31" s="8" t="str">
        <f>INDEX(SampleList!A:A,MATCH(E31,SampleList!Z:Z,0),1)</f>
        <v>CTD-006</v>
      </c>
      <c r="B31" s="8">
        <f>INDEX(SampleList!B:B,MATCH(E31,SampleList!Z:Z,0),1)</f>
        <v>15</v>
      </c>
      <c r="C31" s="8">
        <f>INDEX(SampleList!D:D,MATCH(E31,SampleList!Z:Z,0),1)</f>
        <v>80</v>
      </c>
      <c r="D31" t="s">
        <v>309</v>
      </c>
      <c r="E31" t="str">
        <v>Cast 6- Niskin 15</v>
      </c>
      <c r="F31">
        <v>500</v>
      </c>
      <c r="G31">
        <v>10</v>
      </c>
      <c r="H31">
        <v>1024</v>
      </c>
    </row>
    <row r="32" spans="1:8" x14ac:dyDescent="0.2">
      <c r="A32" s="8" t="str">
        <f>INDEX(SampleList!A:A,MATCH(E32,SampleList!Z:Z,0),1)</f>
        <v>CTD-006</v>
      </c>
      <c r="B32" s="8">
        <f>INDEX(SampleList!B:B,MATCH(E32,SampleList!Z:Z,0),1)</f>
        <v>18</v>
      </c>
      <c r="C32" s="8">
        <f>INDEX(SampleList!D:D,MATCH(E32,SampleList!Z:Z,0),1)</f>
        <v>60</v>
      </c>
      <c r="D32" t="s">
        <v>310</v>
      </c>
      <c r="E32" t="str">
        <v>Cast 6- Niskin 18</v>
      </c>
      <c r="F32">
        <v>500</v>
      </c>
      <c r="G32">
        <v>10</v>
      </c>
      <c r="H32">
        <v>1025</v>
      </c>
    </row>
    <row r="33" spans="1:8" x14ac:dyDescent="0.2">
      <c r="A33" s="8" t="str">
        <f>INDEX(SampleList!A:A,MATCH(E33,SampleList!Z:Z,0),1)</f>
        <v>CTD-006</v>
      </c>
      <c r="B33" s="8">
        <f>INDEX(SampleList!B:B,MATCH(E33,SampleList!Z:Z,0),1)</f>
        <v>19</v>
      </c>
      <c r="C33" s="8">
        <f>INDEX(SampleList!D:D,MATCH(E33,SampleList!Z:Z,0),1)</f>
        <v>40</v>
      </c>
      <c r="D33" t="s">
        <v>311</v>
      </c>
      <c r="E33" t="str">
        <v>Cast 6- Niskin 19</v>
      </c>
      <c r="F33">
        <v>500</v>
      </c>
      <c r="G33">
        <v>10</v>
      </c>
      <c r="H33">
        <v>1026</v>
      </c>
    </row>
    <row r="34" spans="1:8" x14ac:dyDescent="0.2">
      <c r="A34" s="8" t="str">
        <f>INDEX(SampleList!A:A,MATCH(E34,SampleList!Z:Z,0),1)</f>
        <v>CTD-006</v>
      </c>
      <c r="B34" s="8">
        <f>INDEX(SampleList!B:B,MATCH(E34,SampleList!Z:Z,0),1)</f>
        <v>21</v>
      </c>
      <c r="C34" s="8">
        <f>INDEX(SampleList!D:D,MATCH(E34,SampleList!Z:Z,0),1)</f>
        <v>20</v>
      </c>
      <c r="D34" t="s">
        <v>312</v>
      </c>
      <c r="E34" t="str">
        <v>Cast 6- Niskin 21</v>
      </c>
      <c r="F34">
        <v>500</v>
      </c>
      <c r="G34">
        <v>10</v>
      </c>
      <c r="H34">
        <v>1027</v>
      </c>
    </row>
    <row r="35" spans="1:8" x14ac:dyDescent="0.2">
      <c r="A35" s="8" t="str">
        <f>INDEX(SampleList!A:A,MATCH(E35,SampleList!Z:Z,0),1)</f>
        <v>CTD-006</v>
      </c>
      <c r="B35" s="8">
        <f>INDEX(SampleList!B:B,MATCH(E35,SampleList!Z:Z,0),1)</f>
        <v>23</v>
      </c>
      <c r="C35" s="8">
        <f>INDEX(SampleList!D:D,MATCH(E35,SampleList!Z:Z,0),1)</f>
        <v>10</v>
      </c>
      <c r="D35" t="s">
        <v>313</v>
      </c>
      <c r="E35" t="str">
        <v>Cast 6- Niskin 23</v>
      </c>
      <c r="F35">
        <v>500</v>
      </c>
      <c r="G35">
        <v>10</v>
      </c>
      <c r="H35">
        <v>1028</v>
      </c>
    </row>
    <row r="36" spans="1:8" x14ac:dyDescent="0.2">
      <c r="A36" s="8" t="str">
        <f>INDEX(SampleList!A:A,MATCH(E36,SampleList!Z:Z,0),1)</f>
        <v>J2-1369</v>
      </c>
      <c r="B36" s="8" t="str">
        <f>INDEX(SampleList!B:B,MATCH(E36,SampleList!Z:Z,0),1)</f>
        <v>Aft Starboard</v>
      </c>
      <c r="C36" s="8">
        <f>INDEX(SampleList!D:D,MATCH(E36,SampleList!Z:Z,0),1)</f>
        <v>2892</v>
      </c>
      <c r="D36" t="s">
        <v>314</v>
      </c>
      <c r="E36" t="str">
        <v>J2-1369 Aft Niskin</v>
      </c>
      <c r="F36">
        <v>500</v>
      </c>
      <c r="G36">
        <v>10</v>
      </c>
      <c r="H36">
        <v>1018</v>
      </c>
    </row>
    <row r="37" spans="1:8" x14ac:dyDescent="0.2">
      <c r="A37" s="8" t="str">
        <f>INDEX(SampleList!A:A,MATCH(E37,SampleList!Z:Z,0),1)</f>
        <v>J2-1369</v>
      </c>
      <c r="B37" s="8" t="str">
        <f>INDEX(SampleList!B:B,MATCH(E37,SampleList!Z:Z,0),1)</f>
        <v>Forward Starboard</v>
      </c>
      <c r="C37" s="8">
        <f>INDEX(SampleList!D:D,MATCH(E37,SampleList!Z:Z,0),1)</f>
        <v>1500</v>
      </c>
      <c r="D37" t="s">
        <v>315</v>
      </c>
      <c r="E37" t="str">
        <v>J2-1369  Forward Niskin</v>
      </c>
      <c r="F37">
        <v>500</v>
      </c>
      <c r="G37">
        <v>11</v>
      </c>
      <c r="H37">
        <v>1019</v>
      </c>
    </row>
    <row r="38" spans="1:8" x14ac:dyDescent="0.2">
      <c r="A38" s="8" t="str">
        <f>INDEX(SampleList!A:A,MATCH(E38,SampleList!Z:Z,0),1)</f>
        <v>CTD-007</v>
      </c>
      <c r="B38" s="8">
        <f>INDEX(SampleList!B:B,MATCH(E38,SampleList!Z:Z,0),1)</f>
        <v>1</v>
      </c>
      <c r="C38" s="8">
        <f>INDEX(SampleList!D:D,MATCH(E38,SampleList!Z:Z,0),1)</f>
        <v>2600</v>
      </c>
      <c r="D38" s="8" t="s">
        <v>364</v>
      </c>
      <c r="E38" t="str">
        <v>CTD-7 Niskin 1</v>
      </c>
      <c r="F38" s="8">
        <v>500</v>
      </c>
      <c r="G38" s="8">
        <v>10</v>
      </c>
      <c r="H38" s="8">
        <v>1029</v>
      </c>
    </row>
    <row r="39" spans="1:8" x14ac:dyDescent="0.2">
      <c r="A39" s="8" t="str">
        <f>INDEX(SampleList!A:A,MATCH(E39,SampleList!Z:Z,0),1)</f>
        <v>CTD-007</v>
      </c>
      <c r="B39" s="8">
        <f>INDEX(SampleList!B:B,MATCH(E39,SampleList!Z:Z,0),1)</f>
        <v>2</v>
      </c>
      <c r="C39" s="8">
        <f>INDEX(SampleList!D:D,MATCH(E39,SampleList!Z:Z,0),1)</f>
        <v>2600</v>
      </c>
      <c r="D39" s="8" t="s">
        <v>364</v>
      </c>
      <c r="E39" t="str">
        <v>CTD-7 Niskin 2</v>
      </c>
      <c r="F39" s="8">
        <v>500</v>
      </c>
      <c r="G39" s="8">
        <v>10</v>
      </c>
      <c r="H39" s="8">
        <v>1030</v>
      </c>
    </row>
    <row r="40" spans="1:8" x14ac:dyDescent="0.2">
      <c r="A40" s="8" t="str">
        <f>INDEX(SampleList!A:A,MATCH(E40,SampleList!Z:Z,0),1)</f>
        <v>CTD-007</v>
      </c>
      <c r="B40" s="8">
        <f>INDEX(SampleList!B:B,MATCH(E40,SampleList!Z:Z,0),1)</f>
        <v>6</v>
      </c>
      <c r="C40" s="8">
        <f>INDEX(SampleList!D:D,MATCH(E40,SampleList!Z:Z,0),1)</f>
        <v>1500</v>
      </c>
      <c r="D40" s="8" t="s">
        <v>365</v>
      </c>
      <c r="E40" t="str">
        <v>CTD-7 Niskin 6</v>
      </c>
      <c r="F40" s="8">
        <v>500</v>
      </c>
      <c r="G40" s="8">
        <v>10</v>
      </c>
      <c r="H40" s="8">
        <v>1031</v>
      </c>
    </row>
    <row r="41" spans="1:8" x14ac:dyDescent="0.2">
      <c r="A41" s="8" t="str">
        <f>INDEX(SampleList!A:A,MATCH(E41,SampleList!Z:Z,0),1)</f>
        <v>CTD-007</v>
      </c>
      <c r="B41" s="8">
        <f>INDEX(SampleList!B:B,MATCH(E41,SampleList!Z:Z,0),1)</f>
        <v>18</v>
      </c>
      <c r="C41" s="8">
        <f>INDEX(SampleList!D:D,MATCH(E41,SampleList!Z:Z,0),1)</f>
        <v>75</v>
      </c>
      <c r="D41" s="8" t="s">
        <v>365</v>
      </c>
      <c r="E41" t="str">
        <v>CTD-7 Niskin 18a</v>
      </c>
      <c r="F41" s="8">
        <v>500</v>
      </c>
      <c r="G41" s="8">
        <v>10</v>
      </c>
      <c r="H41" s="8">
        <v>1032</v>
      </c>
    </row>
    <row r="42" spans="1:8" x14ac:dyDescent="0.2">
      <c r="A42" s="8" t="str">
        <f>INDEX(SampleList!A:A,MATCH(E42,SampleList!Z:Z,0),1)</f>
        <v>CTD-007</v>
      </c>
      <c r="B42" s="8">
        <f>INDEX(SampleList!B:B,MATCH(E42,SampleList!Z:Z,0),1)</f>
        <v>18</v>
      </c>
      <c r="C42" s="8">
        <f>INDEX(SampleList!D:D,MATCH(E42,SampleList!Z:Z,0),1)</f>
        <v>75</v>
      </c>
      <c r="D42" s="8" t="s">
        <v>366</v>
      </c>
      <c r="E42" t="str">
        <v>CTD-7 Niskin 18b</v>
      </c>
      <c r="F42" s="8">
        <v>500</v>
      </c>
      <c r="G42" s="8">
        <v>10</v>
      </c>
      <c r="H42" s="8">
        <v>1033</v>
      </c>
    </row>
    <row r="43" spans="1:8" x14ac:dyDescent="0.2">
      <c r="A43" s="8" t="str">
        <f>INDEX(SampleList!A:A,MATCH(E43,SampleList!Z:Z,0),1)</f>
        <v>CTD-007</v>
      </c>
      <c r="B43" s="8">
        <f>INDEX(SampleList!B:B,MATCH(E43,SampleList!Z:Z,0),1)</f>
        <v>21</v>
      </c>
      <c r="C43" s="8">
        <f>INDEX(SampleList!D:D,MATCH(E43,SampleList!Z:Z,0),1)</f>
        <v>40</v>
      </c>
      <c r="D43" s="8" t="s">
        <v>366</v>
      </c>
      <c r="E43" t="str">
        <v>CTD-7 Niskin 21</v>
      </c>
      <c r="F43" s="8">
        <v>500</v>
      </c>
      <c r="G43" s="8">
        <v>10</v>
      </c>
      <c r="H43" s="8">
        <v>1034</v>
      </c>
    </row>
    <row r="44" spans="1:8" x14ac:dyDescent="0.2">
      <c r="A44" s="8" t="str">
        <f>INDEX(SampleList!A:A,MATCH(E44,SampleList!Z:Z,0),1)</f>
        <v>CTD-007</v>
      </c>
      <c r="B44" s="8">
        <f>INDEX(SampleList!B:B,MATCH(E44,SampleList!Z:Z,0),1)</f>
        <v>22</v>
      </c>
      <c r="C44" s="8">
        <f>INDEX(SampleList!D:D,MATCH(E44,SampleList!Z:Z,0),1)</f>
        <v>40</v>
      </c>
      <c r="D44" s="8" t="s">
        <v>367</v>
      </c>
      <c r="E44" t="str">
        <v>CTD-7 Niskin 22</v>
      </c>
      <c r="F44" s="8">
        <v>500</v>
      </c>
      <c r="G44" s="8">
        <v>10</v>
      </c>
      <c r="H44" s="8">
        <v>1035</v>
      </c>
    </row>
  </sheetData>
  <sortState xmlns:xlrd2="http://schemas.microsoft.com/office/spreadsheetml/2017/richdata2" ref="A10:E39">
    <sortCondition ref="E10:E39"/>
    <sortCondition ref="B10:B39"/>
  </sortState>
  <mergeCells count="18">
    <mergeCell ref="I8:I9"/>
    <mergeCell ref="A6:B6"/>
    <mergeCell ref="C6:H6"/>
    <mergeCell ref="A8:A9"/>
    <mergeCell ref="B8:B9"/>
    <mergeCell ref="C8:C9"/>
    <mergeCell ref="D8:D9"/>
    <mergeCell ref="E8:E9"/>
    <mergeCell ref="F8:F9"/>
    <mergeCell ref="G8:G9"/>
    <mergeCell ref="H8:H9"/>
    <mergeCell ref="A4:B4"/>
    <mergeCell ref="C4:H4"/>
    <mergeCell ref="A1:H1"/>
    <mergeCell ref="A2:B2"/>
    <mergeCell ref="C2:H2"/>
    <mergeCell ref="A3:B3"/>
    <mergeCell ref="C3:H3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CastList!$A$2</xm:f>
          </x14:formula1>
          <xm:sqref>C2:H2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B10"/>
  <sheetViews>
    <sheetView workbookViewId="0"/>
  </sheetViews>
  <sheetFormatPr baseColWidth="10" defaultRowHeight="16" x14ac:dyDescent="0.2"/>
  <cols>
    <col min="1" max="1" width="26.1640625" bestFit="1" customWidth="1"/>
    <col min="2" max="2" width="53.33203125" bestFit="1" customWidth="1"/>
  </cols>
  <sheetData>
    <row r="1" spans="1:2" x14ac:dyDescent="0.2">
      <c r="A1" t="s">
        <v>149</v>
      </c>
      <c r="B1" s="22" t="s">
        <v>150</v>
      </c>
    </row>
    <row r="2" spans="1:2" x14ac:dyDescent="0.2">
      <c r="A2" t="s">
        <v>140</v>
      </c>
      <c r="B2" t="s">
        <v>47</v>
      </c>
    </row>
    <row r="3" spans="1:2" x14ac:dyDescent="0.2">
      <c r="A3" t="s">
        <v>141</v>
      </c>
      <c r="B3" t="s">
        <v>43</v>
      </c>
    </row>
    <row r="4" spans="1:2" x14ac:dyDescent="0.2">
      <c r="A4" t="s">
        <v>142</v>
      </c>
      <c r="B4" t="s">
        <v>43</v>
      </c>
    </row>
    <row r="5" spans="1:2" x14ac:dyDescent="0.2">
      <c r="A5" t="s">
        <v>143</v>
      </c>
      <c r="B5" t="s">
        <v>43</v>
      </c>
    </row>
    <row r="6" spans="1:2" x14ac:dyDescent="0.2">
      <c r="A6" t="s">
        <v>144</v>
      </c>
      <c r="B6" t="s">
        <v>43</v>
      </c>
    </row>
    <row r="7" spans="1:2" x14ac:dyDescent="0.2">
      <c r="A7" t="s">
        <v>145</v>
      </c>
      <c r="B7" t="s">
        <v>43</v>
      </c>
    </row>
    <row r="8" spans="1:2" x14ac:dyDescent="0.2">
      <c r="A8" t="s">
        <v>146</v>
      </c>
      <c r="B8" t="s">
        <v>43</v>
      </c>
    </row>
    <row r="9" spans="1:2" x14ac:dyDescent="0.2">
      <c r="A9" t="s">
        <v>147</v>
      </c>
      <c r="B9" t="s">
        <v>43</v>
      </c>
    </row>
    <row r="10" spans="1:2" x14ac:dyDescent="0.2">
      <c r="A10" t="s">
        <v>148</v>
      </c>
      <c r="B10" t="s">
        <v>43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_Flags_!$D$2:$D$9</xm:f>
          </x14:formula1>
          <xm:sqref>B2:B10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rgb="FF002060"/>
  </sheetPr>
  <dimension ref="A1:B4"/>
  <sheetViews>
    <sheetView workbookViewId="0">
      <selection activeCell="B4" sqref="B4"/>
    </sheetView>
  </sheetViews>
  <sheetFormatPr baseColWidth="10" defaultRowHeight="16" x14ac:dyDescent="0.2"/>
  <cols>
    <col min="1" max="1" width="26.1640625" bestFit="1" customWidth="1"/>
    <col min="2" max="2" width="22.5" bestFit="1" customWidth="1"/>
  </cols>
  <sheetData>
    <row r="1" spans="1:2" x14ac:dyDescent="0.2">
      <c r="A1" t="s">
        <v>149</v>
      </c>
      <c r="B1" s="22" t="s">
        <v>150</v>
      </c>
    </row>
    <row r="2" spans="1:2" x14ac:dyDescent="0.2">
      <c r="A2" t="s">
        <v>140</v>
      </c>
      <c r="B2" t="s">
        <v>43</v>
      </c>
    </row>
    <row r="3" spans="1:2" x14ac:dyDescent="0.2">
      <c r="A3" t="s">
        <v>141</v>
      </c>
      <c r="B3" t="s">
        <v>43</v>
      </c>
    </row>
    <row r="4" spans="1:2" x14ac:dyDescent="0.2">
      <c r="A4" t="s">
        <v>143</v>
      </c>
      <c r="B4" t="s">
        <v>43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_Flags_!$D$2:$D$9</xm:f>
          </x14:formula1>
          <xm:sqref>B2:B4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7030A0"/>
  </sheetPr>
  <dimension ref="A1:F49"/>
  <sheetViews>
    <sheetView workbookViewId="0">
      <selection activeCell="B49" sqref="B49"/>
    </sheetView>
  </sheetViews>
  <sheetFormatPr baseColWidth="10" defaultRowHeight="16" x14ac:dyDescent="0.2"/>
  <cols>
    <col min="1" max="1" width="19.6640625" customWidth="1"/>
    <col min="2" max="2" width="17.5" style="25" customWidth="1"/>
    <col min="5" max="5" width="14.6640625" bestFit="1" customWidth="1"/>
  </cols>
  <sheetData>
    <row r="1" spans="1:6" x14ac:dyDescent="0.2">
      <c r="A1" s="6" t="s">
        <v>65</v>
      </c>
      <c r="B1" s="23" t="s">
        <v>66</v>
      </c>
      <c r="E1" s="6" t="s">
        <v>90</v>
      </c>
      <c r="F1" s="6" t="s">
        <v>91</v>
      </c>
    </row>
    <row r="2" spans="1:6" x14ac:dyDescent="0.2">
      <c r="A2">
        <v>25</v>
      </c>
      <c r="B2" s="25">
        <v>133.16999999999999</v>
      </c>
      <c r="E2">
        <v>10</v>
      </c>
      <c r="F2">
        <v>0.01</v>
      </c>
    </row>
    <row r="3" spans="1:6" x14ac:dyDescent="0.2">
      <c r="A3">
        <v>26</v>
      </c>
      <c r="B3" s="25">
        <v>140.41</v>
      </c>
    </row>
    <row r="4" spans="1:6" x14ac:dyDescent="0.2">
      <c r="A4">
        <v>27</v>
      </c>
      <c r="B4" s="25">
        <v>144.66999999999999</v>
      </c>
    </row>
    <row r="5" spans="1:6" x14ac:dyDescent="0.2">
      <c r="A5">
        <v>28</v>
      </c>
      <c r="B5" s="25">
        <v>143.63</v>
      </c>
    </row>
    <row r="6" spans="1:6" x14ac:dyDescent="0.2">
      <c r="A6">
        <v>29</v>
      </c>
      <c r="B6" s="25">
        <v>136.56</v>
      </c>
    </row>
    <row r="7" spans="1:6" x14ac:dyDescent="0.2">
      <c r="A7">
        <v>30</v>
      </c>
      <c r="B7" s="25">
        <v>129.03</v>
      </c>
    </row>
    <row r="8" spans="1:6" x14ac:dyDescent="0.2">
      <c r="A8">
        <v>31</v>
      </c>
      <c r="B8" s="25">
        <v>131.01</v>
      </c>
    </row>
    <row r="9" spans="1:6" x14ac:dyDescent="0.2">
      <c r="A9">
        <v>32</v>
      </c>
      <c r="B9" s="25">
        <v>138.24</v>
      </c>
    </row>
    <row r="10" spans="1:6" x14ac:dyDescent="0.2">
      <c r="A10">
        <v>33</v>
      </c>
      <c r="B10" s="25">
        <v>135.06</v>
      </c>
    </row>
    <row r="11" spans="1:6" x14ac:dyDescent="0.2">
      <c r="A11">
        <v>34</v>
      </c>
      <c r="B11" s="25">
        <v>142.78</v>
      </c>
    </row>
    <row r="12" spans="1:6" x14ac:dyDescent="0.2">
      <c r="A12">
        <v>35</v>
      </c>
      <c r="B12" s="25">
        <v>138.34</v>
      </c>
    </row>
    <row r="13" spans="1:6" x14ac:dyDescent="0.2">
      <c r="A13">
        <v>36</v>
      </c>
      <c r="B13" s="25">
        <v>141.83000000000001</v>
      </c>
    </row>
    <row r="14" spans="1:6" x14ac:dyDescent="0.2">
      <c r="A14">
        <v>37</v>
      </c>
      <c r="B14" s="25">
        <v>145.25</v>
      </c>
    </row>
    <row r="15" spans="1:6" x14ac:dyDescent="0.2">
      <c r="A15">
        <v>38</v>
      </c>
      <c r="B15" s="25">
        <v>145.35</v>
      </c>
    </row>
    <row r="16" spans="1:6" x14ac:dyDescent="0.2">
      <c r="A16">
        <v>39</v>
      </c>
      <c r="B16" s="25">
        <v>130.43</v>
      </c>
    </row>
    <row r="17" spans="1:2" x14ac:dyDescent="0.2">
      <c r="A17">
        <v>40</v>
      </c>
      <c r="B17" s="25">
        <v>124.04</v>
      </c>
    </row>
    <row r="18" spans="1:2" x14ac:dyDescent="0.2">
      <c r="A18">
        <v>41</v>
      </c>
      <c r="B18" s="25">
        <v>129.5</v>
      </c>
    </row>
    <row r="19" spans="1:2" x14ac:dyDescent="0.2">
      <c r="A19">
        <v>42</v>
      </c>
      <c r="B19" s="25">
        <v>133.91999999999999</v>
      </c>
    </row>
    <row r="20" spans="1:2" x14ac:dyDescent="0.2">
      <c r="A20">
        <v>43</v>
      </c>
      <c r="B20" s="25">
        <v>132.94</v>
      </c>
    </row>
    <row r="21" spans="1:2" x14ac:dyDescent="0.2">
      <c r="A21">
        <v>44</v>
      </c>
      <c r="B21" s="25">
        <v>132.68</v>
      </c>
    </row>
    <row r="22" spans="1:2" x14ac:dyDescent="0.2">
      <c r="A22">
        <v>45</v>
      </c>
      <c r="B22" s="25">
        <v>134.68</v>
      </c>
    </row>
    <row r="23" spans="1:2" x14ac:dyDescent="0.2">
      <c r="A23">
        <v>46</v>
      </c>
      <c r="B23" s="25">
        <v>131.97999999999999</v>
      </c>
    </row>
    <row r="24" spans="1:2" x14ac:dyDescent="0.2">
      <c r="A24">
        <v>47</v>
      </c>
      <c r="B24" s="25">
        <v>133.5</v>
      </c>
    </row>
    <row r="25" spans="1:2" x14ac:dyDescent="0.2">
      <c r="A25">
        <v>48</v>
      </c>
      <c r="B25" s="25">
        <v>137.66999999999999</v>
      </c>
    </row>
    <row r="26" spans="1:2" x14ac:dyDescent="0.2">
      <c r="A26">
        <v>313</v>
      </c>
      <c r="B26" s="25">
        <v>138.97</v>
      </c>
    </row>
    <row r="27" spans="1:2" x14ac:dyDescent="0.2">
      <c r="A27">
        <v>314</v>
      </c>
      <c r="B27" s="25">
        <v>134.46</v>
      </c>
    </row>
    <row r="28" spans="1:2" x14ac:dyDescent="0.2">
      <c r="A28">
        <v>315</v>
      </c>
      <c r="B28" s="25">
        <v>132.76</v>
      </c>
    </row>
    <row r="29" spans="1:2" x14ac:dyDescent="0.2">
      <c r="A29">
        <v>316</v>
      </c>
      <c r="B29" s="25">
        <v>145.56</v>
      </c>
    </row>
    <row r="30" spans="1:2" x14ac:dyDescent="0.2">
      <c r="A30">
        <v>317</v>
      </c>
      <c r="B30" s="25">
        <v>137.24</v>
      </c>
    </row>
    <row r="31" spans="1:2" x14ac:dyDescent="0.2">
      <c r="A31">
        <v>318</v>
      </c>
      <c r="B31" s="25">
        <v>127.31</v>
      </c>
    </row>
    <row r="32" spans="1:2" x14ac:dyDescent="0.2">
      <c r="A32">
        <v>319</v>
      </c>
      <c r="B32" s="25">
        <v>141.15</v>
      </c>
    </row>
    <row r="33" spans="1:2" x14ac:dyDescent="0.2">
      <c r="A33">
        <v>320</v>
      </c>
      <c r="B33" s="25">
        <v>131.1</v>
      </c>
    </row>
    <row r="34" spans="1:2" x14ac:dyDescent="0.2">
      <c r="A34">
        <v>321</v>
      </c>
      <c r="B34" s="25">
        <v>139.88999999999999</v>
      </c>
    </row>
    <row r="35" spans="1:2" x14ac:dyDescent="0.2">
      <c r="A35">
        <v>322</v>
      </c>
      <c r="B35" s="25">
        <v>128.54</v>
      </c>
    </row>
    <row r="36" spans="1:2" x14ac:dyDescent="0.2">
      <c r="A36">
        <v>323</v>
      </c>
      <c r="B36" s="25">
        <v>144.28</v>
      </c>
    </row>
    <row r="37" spans="1:2" x14ac:dyDescent="0.2">
      <c r="A37">
        <v>324</v>
      </c>
      <c r="B37" s="25">
        <v>136.19999999999999</v>
      </c>
    </row>
    <row r="38" spans="1:2" x14ac:dyDescent="0.2">
      <c r="A38">
        <v>325</v>
      </c>
      <c r="B38" s="25">
        <v>126.81</v>
      </c>
    </row>
    <row r="39" spans="1:2" x14ac:dyDescent="0.2">
      <c r="A39">
        <v>326</v>
      </c>
      <c r="B39" s="25">
        <v>145.12</v>
      </c>
    </row>
    <row r="40" spans="1:2" x14ac:dyDescent="0.2">
      <c r="A40">
        <v>327</v>
      </c>
      <c r="B40" s="25">
        <v>128.91999999999999</v>
      </c>
    </row>
    <row r="41" spans="1:2" x14ac:dyDescent="0.2">
      <c r="A41">
        <v>328</v>
      </c>
      <c r="B41" s="25">
        <v>132.37</v>
      </c>
    </row>
    <row r="42" spans="1:2" x14ac:dyDescent="0.2">
      <c r="A42">
        <v>329</v>
      </c>
      <c r="B42" s="25">
        <v>140.59</v>
      </c>
    </row>
    <row r="43" spans="1:2" x14ac:dyDescent="0.2">
      <c r="A43">
        <v>330</v>
      </c>
      <c r="B43" s="25">
        <v>133.06</v>
      </c>
    </row>
    <row r="44" spans="1:2" x14ac:dyDescent="0.2">
      <c r="A44">
        <v>331</v>
      </c>
      <c r="B44" s="25">
        <v>146.19999999999999</v>
      </c>
    </row>
    <row r="45" spans="1:2" x14ac:dyDescent="0.2">
      <c r="A45">
        <v>332</v>
      </c>
      <c r="B45" s="25">
        <v>131.41</v>
      </c>
    </row>
    <row r="46" spans="1:2" x14ac:dyDescent="0.2">
      <c r="A46">
        <v>333</v>
      </c>
      <c r="B46" s="25">
        <v>136.33000000000001</v>
      </c>
    </row>
    <row r="47" spans="1:2" x14ac:dyDescent="0.2">
      <c r="A47">
        <v>334</v>
      </c>
      <c r="B47" s="25">
        <v>145.01</v>
      </c>
    </row>
    <row r="48" spans="1:2" x14ac:dyDescent="0.2">
      <c r="A48">
        <v>335</v>
      </c>
      <c r="B48" s="25">
        <v>129.63999999999999</v>
      </c>
    </row>
    <row r="49" spans="1:2" x14ac:dyDescent="0.2">
      <c r="A49">
        <v>336</v>
      </c>
      <c r="B49" s="25">
        <v>136.52000000000001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0070C0"/>
  </sheetPr>
  <dimension ref="A1:G37"/>
  <sheetViews>
    <sheetView workbookViewId="0">
      <selection activeCell="F1" sqref="F1"/>
    </sheetView>
  </sheetViews>
  <sheetFormatPr baseColWidth="10" defaultColWidth="11" defaultRowHeight="16" x14ac:dyDescent="0.2"/>
  <cols>
    <col min="1" max="1" width="10.5" bestFit="1" customWidth="1"/>
    <col min="2" max="2" width="47" bestFit="1" customWidth="1"/>
    <col min="3" max="3" width="23.33203125" customWidth="1"/>
    <col min="4" max="4" width="27.5" customWidth="1"/>
    <col min="5" max="5" width="26.5" customWidth="1"/>
    <col min="6" max="6" width="33.6640625" customWidth="1"/>
    <col min="7" max="7" width="40.6640625" customWidth="1"/>
  </cols>
  <sheetData>
    <row r="1" spans="1:7" ht="17" x14ac:dyDescent="0.25">
      <c r="A1" s="16" t="s">
        <v>92</v>
      </c>
      <c r="B1" s="15" t="s">
        <v>93</v>
      </c>
      <c r="C1" s="15" t="s">
        <v>94</v>
      </c>
      <c r="D1" s="15" t="s">
        <v>95</v>
      </c>
      <c r="E1" s="15" t="s">
        <v>96</v>
      </c>
      <c r="F1" s="15" t="s">
        <v>97</v>
      </c>
      <c r="G1" s="15" t="s">
        <v>98</v>
      </c>
    </row>
    <row r="2" spans="1:7" ht="18" x14ac:dyDescent="0.25">
      <c r="A2" s="17">
        <v>0</v>
      </c>
      <c r="B2" s="18" t="s">
        <v>21</v>
      </c>
      <c r="C2" s="18" t="s">
        <v>21</v>
      </c>
      <c r="D2" s="18" t="s">
        <v>21</v>
      </c>
      <c r="E2" s="18" t="s">
        <v>21</v>
      </c>
      <c r="F2" s="18" t="s">
        <v>21</v>
      </c>
      <c r="G2" s="18" t="s">
        <v>21</v>
      </c>
    </row>
    <row r="3" spans="1:7" ht="52" x14ac:dyDescent="0.25">
      <c r="A3" s="17">
        <v>1</v>
      </c>
      <c r="B3" s="18" t="s">
        <v>22</v>
      </c>
      <c r="C3" s="18" t="s">
        <v>36</v>
      </c>
      <c r="D3" s="18" t="s">
        <v>42</v>
      </c>
      <c r="E3" s="18" t="s">
        <v>49</v>
      </c>
      <c r="F3" s="18" t="s">
        <v>99</v>
      </c>
      <c r="G3" s="18" t="s">
        <v>60</v>
      </c>
    </row>
    <row r="4" spans="1:7" ht="35" x14ac:dyDescent="0.25">
      <c r="A4" s="17">
        <v>2</v>
      </c>
      <c r="B4" s="18" t="s">
        <v>23</v>
      </c>
      <c r="C4" s="18" t="s">
        <v>37</v>
      </c>
      <c r="D4" s="18" t="s">
        <v>43</v>
      </c>
      <c r="E4" s="18" t="s">
        <v>50</v>
      </c>
      <c r="F4" s="18" t="s">
        <v>57</v>
      </c>
      <c r="G4" s="18" t="s">
        <v>61</v>
      </c>
    </row>
    <row r="5" spans="1:7" ht="35" x14ac:dyDescent="0.25">
      <c r="A5" s="17">
        <v>3</v>
      </c>
      <c r="B5" s="18" t="s">
        <v>24</v>
      </c>
      <c r="C5" s="18" t="s">
        <v>38</v>
      </c>
      <c r="D5" s="18" t="s">
        <v>44</v>
      </c>
      <c r="E5" s="18" t="s">
        <v>51</v>
      </c>
      <c r="F5" s="18" t="s">
        <v>44</v>
      </c>
      <c r="G5" s="18" t="s">
        <v>62</v>
      </c>
    </row>
    <row r="6" spans="1:7" ht="35" x14ac:dyDescent="0.25">
      <c r="A6" s="17">
        <v>4</v>
      </c>
      <c r="B6" s="18" t="s">
        <v>25</v>
      </c>
      <c r="C6" s="18" t="s">
        <v>39</v>
      </c>
      <c r="D6" s="18" t="s">
        <v>45</v>
      </c>
      <c r="E6" s="18" t="s">
        <v>52</v>
      </c>
      <c r="F6" s="18" t="s">
        <v>45</v>
      </c>
      <c r="G6" s="18" t="s">
        <v>63</v>
      </c>
    </row>
    <row r="7" spans="1:7" ht="35" x14ac:dyDescent="0.25">
      <c r="A7" s="17">
        <v>5</v>
      </c>
      <c r="B7" s="18" t="s">
        <v>26</v>
      </c>
      <c r="C7" s="18" t="s">
        <v>40</v>
      </c>
      <c r="D7" s="18" t="s">
        <v>46</v>
      </c>
      <c r="E7" s="18" t="s">
        <v>53</v>
      </c>
      <c r="F7" s="18" t="s">
        <v>46</v>
      </c>
      <c r="G7" s="18" t="s">
        <v>35</v>
      </c>
    </row>
    <row r="8" spans="1:7" ht="35" x14ac:dyDescent="0.25">
      <c r="A8" s="17">
        <v>6</v>
      </c>
      <c r="B8" s="18" t="s">
        <v>27</v>
      </c>
      <c r="C8" s="18" t="s">
        <v>41</v>
      </c>
      <c r="D8" s="18" t="s">
        <v>47</v>
      </c>
      <c r="E8" s="18" t="s">
        <v>54</v>
      </c>
      <c r="F8" s="18" t="s">
        <v>58</v>
      </c>
      <c r="G8" s="18" t="s">
        <v>35</v>
      </c>
    </row>
    <row r="9" spans="1:7" ht="35" x14ac:dyDescent="0.25">
      <c r="A9" s="17">
        <v>7</v>
      </c>
      <c r="B9" s="18" t="s">
        <v>28</v>
      </c>
      <c r="C9" s="18" t="s">
        <v>35</v>
      </c>
      <c r="D9" s="18" t="s">
        <v>48</v>
      </c>
      <c r="E9" s="18" t="s">
        <v>55</v>
      </c>
      <c r="F9" s="18" t="s">
        <v>59</v>
      </c>
      <c r="G9" s="18" t="s">
        <v>35</v>
      </c>
    </row>
    <row r="10" spans="1:7" ht="18" x14ac:dyDescent="0.25">
      <c r="A10" s="17">
        <v>8</v>
      </c>
      <c r="B10" s="18" t="s">
        <v>29</v>
      </c>
      <c r="C10" s="18" t="s">
        <v>35</v>
      </c>
      <c r="D10" s="18" t="s">
        <v>35</v>
      </c>
      <c r="E10" s="18" t="s">
        <v>35</v>
      </c>
      <c r="F10" s="18" t="s">
        <v>35</v>
      </c>
      <c r="G10" s="18" t="s">
        <v>35</v>
      </c>
    </row>
    <row r="11" spans="1:7" ht="35" x14ac:dyDescent="0.25">
      <c r="A11" s="17">
        <v>9</v>
      </c>
      <c r="B11" s="18" t="s">
        <v>30</v>
      </c>
      <c r="C11" s="18" t="s">
        <v>35</v>
      </c>
      <c r="D11" s="18" t="s">
        <v>35</v>
      </c>
      <c r="E11" s="18" t="s">
        <v>56</v>
      </c>
      <c r="F11" s="18" t="s">
        <v>35</v>
      </c>
      <c r="G11" s="18" t="s">
        <v>35</v>
      </c>
    </row>
    <row r="12" spans="1:7" ht="18" x14ac:dyDescent="0.25">
      <c r="A12" s="17">
        <v>10</v>
      </c>
      <c r="B12" s="18" t="s">
        <v>31</v>
      </c>
      <c r="C12" s="18" t="s">
        <v>35</v>
      </c>
      <c r="D12" s="18" t="s">
        <v>35</v>
      </c>
      <c r="E12" s="18" t="s">
        <v>35</v>
      </c>
      <c r="F12" s="18" t="s">
        <v>35</v>
      </c>
      <c r="G12" s="18" t="s">
        <v>35</v>
      </c>
    </row>
    <row r="13" spans="1:7" ht="18" x14ac:dyDescent="0.25">
      <c r="A13" s="17">
        <v>11</v>
      </c>
      <c r="B13" s="18" t="s">
        <v>32</v>
      </c>
      <c r="C13" s="18" t="s">
        <v>35</v>
      </c>
      <c r="D13" s="18" t="s">
        <v>35</v>
      </c>
      <c r="E13" s="18" t="s">
        <v>35</v>
      </c>
      <c r="F13" s="18" t="s">
        <v>35</v>
      </c>
      <c r="G13" s="18" t="s">
        <v>35</v>
      </c>
    </row>
    <row r="14" spans="1:7" ht="18" x14ac:dyDescent="0.25">
      <c r="A14" s="17">
        <v>12</v>
      </c>
      <c r="B14" s="18" t="s">
        <v>33</v>
      </c>
      <c r="C14" s="18" t="s">
        <v>35</v>
      </c>
      <c r="D14" s="18" t="s">
        <v>35</v>
      </c>
      <c r="E14" s="18" t="s">
        <v>35</v>
      </c>
      <c r="F14" s="18" t="s">
        <v>35</v>
      </c>
      <c r="G14" s="18" t="s">
        <v>35</v>
      </c>
    </row>
    <row r="15" spans="1:7" ht="18" x14ac:dyDescent="0.25">
      <c r="A15" s="17">
        <v>13</v>
      </c>
      <c r="B15" s="18" t="s">
        <v>34</v>
      </c>
      <c r="C15" s="18" t="s">
        <v>35</v>
      </c>
      <c r="D15" s="18" t="s">
        <v>35</v>
      </c>
      <c r="E15" s="18" t="s">
        <v>35</v>
      </c>
      <c r="F15" s="18" t="s">
        <v>35</v>
      </c>
      <c r="G15" s="18" t="s">
        <v>35</v>
      </c>
    </row>
    <row r="16" spans="1:7" ht="18" x14ac:dyDescent="0.25">
      <c r="A16" s="17">
        <v>14</v>
      </c>
      <c r="B16" s="18" t="s">
        <v>35</v>
      </c>
      <c r="C16" s="18" t="s">
        <v>35</v>
      </c>
      <c r="D16" s="18" t="s">
        <v>35</v>
      </c>
      <c r="E16" s="18" t="s">
        <v>35</v>
      </c>
      <c r="F16" s="18" t="s">
        <v>35</v>
      </c>
      <c r="G16" s="18" t="s">
        <v>35</v>
      </c>
    </row>
    <row r="17" spans="1:7" ht="18" x14ac:dyDescent="0.25">
      <c r="A17" s="17">
        <v>15</v>
      </c>
      <c r="B17" s="18" t="s">
        <v>35</v>
      </c>
      <c r="C17" s="18" t="s">
        <v>35</v>
      </c>
      <c r="D17" s="18" t="s">
        <v>35</v>
      </c>
      <c r="E17" s="18" t="s">
        <v>35</v>
      </c>
      <c r="F17" s="18" t="s">
        <v>35</v>
      </c>
      <c r="G17" s="18" t="s">
        <v>35</v>
      </c>
    </row>
    <row r="21" spans="1:7" ht="17" x14ac:dyDescent="0.25">
      <c r="A21" s="11"/>
    </row>
    <row r="22" spans="1:7" ht="17" x14ac:dyDescent="0.25">
      <c r="A22" s="11"/>
    </row>
    <row r="23" spans="1:7" ht="17" x14ac:dyDescent="0.25">
      <c r="A23" s="11"/>
    </row>
    <row r="24" spans="1:7" ht="17" x14ac:dyDescent="0.25">
      <c r="A24" s="11"/>
    </row>
    <row r="25" spans="1:7" ht="17" x14ac:dyDescent="0.25">
      <c r="A25" s="11"/>
    </row>
    <row r="26" spans="1:7" ht="17" x14ac:dyDescent="0.25">
      <c r="A26" s="11"/>
    </row>
    <row r="27" spans="1:7" ht="17" x14ac:dyDescent="0.25">
      <c r="A27" s="11"/>
    </row>
    <row r="28" spans="1:7" ht="17" x14ac:dyDescent="0.25">
      <c r="A28" s="11"/>
    </row>
    <row r="29" spans="1:7" ht="17" x14ac:dyDescent="0.25">
      <c r="A29" s="11"/>
    </row>
    <row r="30" spans="1:7" ht="17" x14ac:dyDescent="0.25">
      <c r="A30" s="11"/>
    </row>
    <row r="31" spans="1:7" ht="17" x14ac:dyDescent="0.25">
      <c r="A31" s="11"/>
    </row>
    <row r="32" spans="1:7" ht="17" x14ac:dyDescent="0.25">
      <c r="A32" s="11"/>
    </row>
    <row r="33" spans="1:1" ht="17" x14ac:dyDescent="0.25">
      <c r="A33" s="11"/>
    </row>
    <row r="34" spans="1:1" ht="17" x14ac:dyDescent="0.25">
      <c r="A34" s="11"/>
    </row>
    <row r="35" spans="1:1" ht="17" x14ac:dyDescent="0.25">
      <c r="A35" s="11"/>
    </row>
    <row r="36" spans="1:1" ht="17" x14ac:dyDescent="0.25">
      <c r="A36" s="11"/>
    </row>
    <row r="37" spans="1:1" ht="17" x14ac:dyDescent="0.25">
      <c r="A37" s="11"/>
    </row>
  </sheetData>
  <sheetProtection algorithmName="SHA-512" hashValue="3JaYipnvlz5xjzo1MF5FAXVO+yfYk5ky3UY+gp0r8dL6Ldu5BEA57DKAwFDnUpz/YHtJ/nJBdx+tGL19Gl28qg==" saltValue="BKyhebrvA5oLM7s+B4A/q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tabColor rgb="FF0070C0"/>
  </sheetPr>
  <dimension ref="A1:A34"/>
  <sheetViews>
    <sheetView workbookViewId="0"/>
  </sheetViews>
  <sheetFormatPr baseColWidth="10" defaultRowHeight="16" x14ac:dyDescent="0.2"/>
  <cols>
    <col min="1" max="1" width="12.5" bestFit="1" customWidth="1"/>
  </cols>
  <sheetData>
    <row r="1" spans="1:1" x14ac:dyDescent="0.2">
      <c r="A1" t="s">
        <v>64</v>
      </c>
    </row>
    <row r="2" spans="1:1" x14ac:dyDescent="0.2">
      <c r="A2">
        <v>1</v>
      </c>
    </row>
    <row r="3" spans="1:1" x14ac:dyDescent="0.2">
      <c r="A3">
        <v>2</v>
      </c>
    </row>
    <row r="4" spans="1:1" x14ac:dyDescent="0.2">
      <c r="A4">
        <v>3</v>
      </c>
    </row>
    <row r="5" spans="1:1" x14ac:dyDescent="0.2">
      <c r="A5">
        <v>4</v>
      </c>
    </row>
    <row r="6" spans="1:1" x14ac:dyDescent="0.2">
      <c r="A6">
        <v>5</v>
      </c>
    </row>
    <row r="7" spans="1:1" x14ac:dyDescent="0.2">
      <c r="A7">
        <v>6</v>
      </c>
    </row>
    <row r="8" spans="1:1" x14ac:dyDescent="0.2">
      <c r="A8">
        <v>7</v>
      </c>
    </row>
    <row r="9" spans="1:1" x14ac:dyDescent="0.2">
      <c r="A9">
        <v>8</v>
      </c>
    </row>
    <row r="10" spans="1:1" x14ac:dyDescent="0.2">
      <c r="A10">
        <v>9</v>
      </c>
    </row>
    <row r="11" spans="1:1" x14ac:dyDescent="0.2">
      <c r="A11">
        <v>10</v>
      </c>
    </row>
    <row r="12" spans="1:1" x14ac:dyDescent="0.2">
      <c r="A12">
        <v>11</v>
      </c>
    </row>
    <row r="13" spans="1:1" x14ac:dyDescent="0.2">
      <c r="A13">
        <v>12</v>
      </c>
    </row>
    <row r="14" spans="1:1" x14ac:dyDescent="0.2">
      <c r="A14">
        <v>13</v>
      </c>
    </row>
    <row r="15" spans="1:1" x14ac:dyDescent="0.2">
      <c r="A15">
        <v>14</v>
      </c>
    </row>
    <row r="16" spans="1:1" x14ac:dyDescent="0.2">
      <c r="A16">
        <v>15</v>
      </c>
    </row>
    <row r="17" spans="1:1" x14ac:dyDescent="0.2">
      <c r="A17">
        <v>16</v>
      </c>
    </row>
    <row r="18" spans="1:1" x14ac:dyDescent="0.2">
      <c r="A18">
        <v>17</v>
      </c>
    </row>
    <row r="19" spans="1:1" x14ac:dyDescent="0.2">
      <c r="A19">
        <v>18</v>
      </c>
    </row>
    <row r="20" spans="1:1" x14ac:dyDescent="0.2">
      <c r="A20">
        <v>19</v>
      </c>
    </row>
    <row r="21" spans="1:1" x14ac:dyDescent="0.2">
      <c r="A21">
        <v>20</v>
      </c>
    </row>
    <row r="22" spans="1:1" x14ac:dyDescent="0.2">
      <c r="A22">
        <v>21</v>
      </c>
    </row>
    <row r="23" spans="1:1" x14ac:dyDescent="0.2">
      <c r="A23">
        <v>22</v>
      </c>
    </row>
    <row r="24" spans="1:1" x14ac:dyDescent="0.2">
      <c r="A24">
        <v>23</v>
      </c>
    </row>
    <row r="25" spans="1:1" x14ac:dyDescent="0.2">
      <c r="A25">
        <v>24</v>
      </c>
    </row>
    <row r="26" spans="1:1" x14ac:dyDescent="0.2">
      <c r="A26" t="s">
        <v>100</v>
      </c>
    </row>
    <row r="27" spans="1:1" x14ac:dyDescent="0.2">
      <c r="A27" t="s">
        <v>101</v>
      </c>
    </row>
    <row r="28" spans="1:1" x14ac:dyDescent="0.2">
      <c r="A28" t="s">
        <v>102</v>
      </c>
    </row>
    <row r="29" spans="1:1" x14ac:dyDescent="0.2">
      <c r="A29" t="s">
        <v>103</v>
      </c>
    </row>
    <row r="30" spans="1:1" x14ac:dyDescent="0.2">
      <c r="A30" t="s">
        <v>134</v>
      </c>
    </row>
    <row r="31" spans="1:1" x14ac:dyDescent="0.2">
      <c r="A31" t="s">
        <v>135</v>
      </c>
    </row>
    <row r="32" spans="1:1" x14ac:dyDescent="0.2">
      <c r="A32" t="s">
        <v>136</v>
      </c>
    </row>
    <row r="33" spans="1:1" x14ac:dyDescent="0.2">
      <c r="A33" t="s">
        <v>137</v>
      </c>
    </row>
    <row r="34" spans="1:1" x14ac:dyDescent="0.2">
      <c r="A34" t="s">
        <v>153</v>
      </c>
    </row>
  </sheetData>
  <sheetProtection algorithmName="SHA-512" hashValue="ebomsgX8zaMkVZjvUXdaQEanHvhKvMc8QBivC4OUweKvDxBh8FeC8BDFkNJ16bYI22beXHwFcHNTPvmjQRUlmg==" saltValue="R5F6LNRpinhlKdIcsdolv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70C0"/>
  </sheetPr>
  <dimension ref="A1:B52"/>
  <sheetViews>
    <sheetView workbookViewId="0"/>
  </sheetViews>
  <sheetFormatPr baseColWidth="10" defaultRowHeight="16" x14ac:dyDescent="0.2"/>
  <cols>
    <col min="1" max="1" width="66" bestFit="1" customWidth="1"/>
    <col min="2" max="2" width="64" style="8" bestFit="1" customWidth="1"/>
  </cols>
  <sheetData>
    <row r="1" spans="1:2" x14ac:dyDescent="0.2">
      <c r="A1" t="s">
        <v>72</v>
      </c>
      <c r="B1"/>
    </row>
    <row r="2" spans="1:2" x14ac:dyDescent="0.2">
      <c r="A2" t="s">
        <v>205</v>
      </c>
      <c r="B2"/>
    </row>
    <row r="3" spans="1:2" x14ac:dyDescent="0.2">
      <c r="A3" t="s">
        <v>179</v>
      </c>
      <c r="B3"/>
    </row>
    <row r="4" spans="1:2" x14ac:dyDescent="0.2">
      <c r="A4" t="s">
        <v>176</v>
      </c>
      <c r="B4"/>
    </row>
    <row r="5" spans="1:2" x14ac:dyDescent="0.2">
      <c r="A5" t="s">
        <v>73</v>
      </c>
      <c r="B5"/>
    </row>
    <row r="6" spans="1:2" x14ac:dyDescent="0.2">
      <c r="A6" t="s">
        <v>71</v>
      </c>
      <c r="B6"/>
    </row>
    <row r="7" spans="1:2" x14ac:dyDescent="0.2">
      <c r="A7" t="s">
        <v>174</v>
      </c>
      <c r="B7"/>
    </row>
    <row r="8" spans="1:2" x14ac:dyDescent="0.2">
      <c r="A8" t="s">
        <v>183</v>
      </c>
      <c r="B8"/>
    </row>
    <row r="9" spans="1:2" x14ac:dyDescent="0.2">
      <c r="A9" t="s">
        <v>182</v>
      </c>
      <c r="B9"/>
    </row>
    <row r="10" spans="1:2" x14ac:dyDescent="0.2">
      <c r="A10" t="s">
        <v>177</v>
      </c>
      <c r="B10"/>
    </row>
    <row r="11" spans="1:2" x14ac:dyDescent="0.2">
      <c r="A11" t="s">
        <v>178</v>
      </c>
      <c r="B11"/>
    </row>
    <row r="12" spans="1:2" x14ac:dyDescent="0.2">
      <c r="A12" t="s">
        <v>180</v>
      </c>
      <c r="B12"/>
    </row>
    <row r="13" spans="1:2" x14ac:dyDescent="0.2">
      <c r="A13" t="s">
        <v>175</v>
      </c>
      <c r="B13"/>
    </row>
    <row r="14" spans="1:2" x14ac:dyDescent="0.2">
      <c r="A14" t="s">
        <v>206</v>
      </c>
      <c r="B14"/>
    </row>
    <row r="15" spans="1:2" x14ac:dyDescent="0.2">
      <c r="A15" t="s">
        <v>232</v>
      </c>
      <c r="B15"/>
    </row>
    <row r="16" spans="1:2" x14ac:dyDescent="0.2">
      <c r="A16" t="s">
        <v>181</v>
      </c>
      <c r="B16"/>
    </row>
    <row r="17" spans="1:2" x14ac:dyDescent="0.2">
      <c r="A17" t="s">
        <v>263</v>
      </c>
      <c r="B17"/>
    </row>
    <row r="18" spans="1:2" x14ac:dyDescent="0.2">
      <c r="A18" t="s">
        <v>172</v>
      </c>
      <c r="B18"/>
    </row>
    <row r="19" spans="1:2" x14ac:dyDescent="0.2">
      <c r="A19" t="s">
        <v>207</v>
      </c>
      <c r="B19"/>
    </row>
    <row r="20" spans="1:2" x14ac:dyDescent="0.2">
      <c r="A20" t="s">
        <v>74</v>
      </c>
      <c r="B20"/>
    </row>
    <row r="21" spans="1:2" x14ac:dyDescent="0.2">
      <c r="A21" t="s">
        <v>191</v>
      </c>
      <c r="B21"/>
    </row>
    <row r="22" spans="1:2" x14ac:dyDescent="0.2">
      <c r="A22" t="s">
        <v>190</v>
      </c>
      <c r="B22"/>
    </row>
    <row r="23" spans="1:2" x14ac:dyDescent="0.2">
      <c r="A23" t="s">
        <v>186</v>
      </c>
      <c r="B23"/>
    </row>
    <row r="24" spans="1:2" x14ac:dyDescent="0.2">
      <c r="A24" t="s">
        <v>187</v>
      </c>
      <c r="B24"/>
    </row>
    <row r="25" spans="1:2" x14ac:dyDescent="0.2">
      <c r="A25" t="s">
        <v>75</v>
      </c>
      <c r="B25"/>
    </row>
    <row r="26" spans="1:2" x14ac:dyDescent="0.2">
      <c r="A26" t="s">
        <v>185</v>
      </c>
      <c r="B26"/>
    </row>
    <row r="27" spans="1:2" x14ac:dyDescent="0.2">
      <c r="A27" t="s">
        <v>189</v>
      </c>
      <c r="B27"/>
    </row>
    <row r="28" spans="1:2" x14ac:dyDescent="0.2">
      <c r="A28" t="s">
        <v>184</v>
      </c>
      <c r="B28"/>
    </row>
    <row r="29" spans="1:2" x14ac:dyDescent="0.2">
      <c r="A29" t="s">
        <v>188</v>
      </c>
      <c r="B29"/>
    </row>
    <row r="30" spans="1:2" x14ac:dyDescent="0.2">
      <c r="A30" t="s">
        <v>173</v>
      </c>
      <c r="B30"/>
    </row>
    <row r="31" spans="1:2" x14ac:dyDescent="0.2">
      <c r="A31" t="s">
        <v>192</v>
      </c>
      <c r="B31"/>
    </row>
    <row r="32" spans="1:2" x14ac:dyDescent="0.2">
      <c r="A32" t="s">
        <v>208</v>
      </c>
      <c r="B32"/>
    </row>
    <row r="33" spans="1:2" x14ac:dyDescent="0.2">
      <c r="A33" t="s">
        <v>209</v>
      </c>
      <c r="B33"/>
    </row>
    <row r="34" spans="1:2" x14ac:dyDescent="0.2">
      <c r="A34" t="s">
        <v>210</v>
      </c>
      <c r="B34"/>
    </row>
    <row r="35" spans="1:2" x14ac:dyDescent="0.2">
      <c r="A35" t="s">
        <v>77</v>
      </c>
      <c r="B35"/>
    </row>
    <row r="36" spans="1:2" x14ac:dyDescent="0.2">
      <c r="A36" t="s">
        <v>203</v>
      </c>
      <c r="B36"/>
    </row>
    <row r="37" spans="1:2" x14ac:dyDescent="0.2">
      <c r="A37" t="s">
        <v>197</v>
      </c>
      <c r="B37"/>
    </row>
    <row r="38" spans="1:2" x14ac:dyDescent="0.2">
      <c r="A38" t="s">
        <v>228</v>
      </c>
      <c r="B38"/>
    </row>
    <row r="39" spans="1:2" x14ac:dyDescent="0.2">
      <c r="A39" t="s">
        <v>199</v>
      </c>
      <c r="B39"/>
    </row>
    <row r="40" spans="1:2" x14ac:dyDescent="0.2">
      <c r="A40" t="s">
        <v>198</v>
      </c>
      <c r="B40"/>
    </row>
    <row r="41" spans="1:2" x14ac:dyDescent="0.2">
      <c r="A41" t="s">
        <v>201</v>
      </c>
      <c r="B41"/>
    </row>
    <row r="42" spans="1:2" x14ac:dyDescent="0.2">
      <c r="A42" t="s">
        <v>76</v>
      </c>
      <c r="B42"/>
    </row>
    <row r="43" spans="1:2" x14ac:dyDescent="0.2">
      <c r="A43" t="s">
        <v>196</v>
      </c>
      <c r="B43"/>
    </row>
    <row r="44" spans="1:2" x14ac:dyDescent="0.2">
      <c r="A44" t="s">
        <v>194</v>
      </c>
      <c r="B44"/>
    </row>
    <row r="45" spans="1:2" x14ac:dyDescent="0.2">
      <c r="A45" t="s">
        <v>202</v>
      </c>
      <c r="B45"/>
    </row>
    <row r="46" spans="1:2" x14ac:dyDescent="0.2">
      <c r="A46" t="s">
        <v>200</v>
      </c>
      <c r="B46"/>
    </row>
    <row r="47" spans="1:2" x14ac:dyDescent="0.2">
      <c r="A47" t="s">
        <v>193</v>
      </c>
      <c r="B47"/>
    </row>
    <row r="48" spans="1:2" x14ac:dyDescent="0.2">
      <c r="A48" t="s">
        <v>195</v>
      </c>
      <c r="B48"/>
    </row>
    <row r="49" spans="1:2" x14ac:dyDescent="0.2">
      <c r="A49" t="s">
        <v>327</v>
      </c>
      <c r="B49"/>
    </row>
    <row r="50" spans="1:2" x14ac:dyDescent="0.2">
      <c r="A50" t="s">
        <v>78</v>
      </c>
      <c r="B50"/>
    </row>
    <row r="51" spans="1:2" x14ac:dyDescent="0.2">
      <c r="A51" t="s">
        <v>211</v>
      </c>
      <c r="B51"/>
    </row>
    <row r="52" spans="1:2" x14ac:dyDescent="0.2">
      <c r="A52" t="s">
        <v>204</v>
      </c>
    </row>
  </sheetData>
  <sheetProtection algorithmName="SHA-512" hashValue="wrJOJUxnScrLQg3t0YSrinNappVSdlnkMQAkbDauERStoDsGOaTTMAqL07DlaQejcklvrSDuItgIZfIl8e8mQA==" saltValue="wRxf51Mk3XFcf8luWYGi8g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0070C0"/>
  </sheetPr>
  <dimension ref="A1:A18"/>
  <sheetViews>
    <sheetView workbookViewId="0"/>
  </sheetViews>
  <sheetFormatPr baseColWidth="10" defaultRowHeight="16" x14ac:dyDescent="0.2"/>
  <sheetData>
    <row r="1" spans="1:1" x14ac:dyDescent="0.2">
      <c r="A1" t="s">
        <v>79</v>
      </c>
    </row>
    <row r="2" spans="1:1" x14ac:dyDescent="0.2">
      <c r="A2" t="s">
        <v>151</v>
      </c>
    </row>
    <row r="3" spans="1:1" x14ac:dyDescent="0.2">
      <c r="A3" t="s">
        <v>80</v>
      </c>
    </row>
    <row r="4" spans="1:1" x14ac:dyDescent="0.2">
      <c r="A4" t="s">
        <v>81</v>
      </c>
    </row>
    <row r="5" spans="1:1" x14ac:dyDescent="0.2">
      <c r="A5" t="s">
        <v>82</v>
      </c>
    </row>
    <row r="6" spans="1:1" x14ac:dyDescent="0.2">
      <c r="A6" t="s">
        <v>229</v>
      </c>
    </row>
    <row r="7" spans="1:1" x14ac:dyDescent="0.2">
      <c r="A7" t="s">
        <v>240</v>
      </c>
    </row>
    <row r="8" spans="1:1" x14ac:dyDescent="0.2">
      <c r="A8" t="s">
        <v>230</v>
      </c>
    </row>
    <row r="9" spans="1:1" x14ac:dyDescent="0.2">
      <c r="A9" t="s">
        <v>241</v>
      </c>
    </row>
    <row r="10" spans="1:1" x14ac:dyDescent="0.2">
      <c r="A10" t="s">
        <v>139</v>
      </c>
    </row>
    <row r="11" spans="1:1" x14ac:dyDescent="0.2">
      <c r="A11" t="s">
        <v>83</v>
      </c>
    </row>
    <row r="12" spans="1:1" x14ac:dyDescent="0.2">
      <c r="A12" t="s">
        <v>84</v>
      </c>
    </row>
    <row r="13" spans="1:1" x14ac:dyDescent="0.2">
      <c r="A13" t="s">
        <v>85</v>
      </c>
    </row>
    <row r="14" spans="1:1" x14ac:dyDescent="0.2">
      <c r="A14" t="s">
        <v>86</v>
      </c>
    </row>
    <row r="15" spans="1:1" x14ac:dyDescent="0.2">
      <c r="A15" t="s">
        <v>87</v>
      </c>
    </row>
    <row r="16" spans="1:1" x14ac:dyDescent="0.2">
      <c r="A16" t="s">
        <v>20</v>
      </c>
    </row>
    <row r="17" spans="1:1" x14ac:dyDescent="0.2">
      <c r="A17" t="s">
        <v>88</v>
      </c>
    </row>
    <row r="18" spans="1:1" x14ac:dyDescent="0.2">
      <c r="A18" t="s">
        <v>138</v>
      </c>
    </row>
  </sheetData>
  <sheetProtection algorithmName="SHA-512" hashValue="5HGSyU2mR84OJz7qIQ2j2fogQ+iLmF7bixfvUCSmL48Mdttzpx3QXujofewlmKbsS8jx1bU9I+vxg02fS3jFCQ==" saltValue="TPqq8jYovU9gMCBvcW0YqA==" spinCount="100000" sheet="1" objects="1" scenarios="1"/>
  <sortState xmlns:xlrd2="http://schemas.microsoft.com/office/spreadsheetml/2017/richdata2" ref="A1:A14">
    <sortCondition ref="A1:A14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CastList</vt:lpstr>
      <vt:lpstr>SampleList</vt:lpstr>
      <vt:lpstr>CastLog_ROV</vt:lpstr>
      <vt:lpstr>OxygenLog_all</vt:lpstr>
      <vt:lpstr>ChloroLog_all</vt:lpstr>
      <vt:lpstr>CTDflags</vt:lpstr>
      <vt:lpstr>CTDflags_ROV</vt:lpstr>
      <vt:lpstr>++OxygenParameters++</vt:lpstr>
      <vt:lpstr>_Flags_</vt:lpstr>
      <vt:lpstr>_NiskinBottles_</vt:lpstr>
      <vt:lpstr>  _Stations_  </vt:lpstr>
      <vt:lpstr>_TargetAssets_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Wendi Ruef</dc:creator>
  <cp:lastModifiedBy>Wendi Ruef</cp:lastModifiedBy>
  <cp:lastPrinted>2019-05-28T21:23:02Z</cp:lastPrinted>
  <dcterms:created xsi:type="dcterms:W3CDTF">2019-03-04T15:33:15Z</dcterms:created>
  <dcterms:modified xsi:type="dcterms:W3CDTF">2021-09-28T17:18:28Z</dcterms:modified>
</cp:coreProperties>
</file>