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Desktop/discreteSamples/TN422/"/>
    </mc:Choice>
  </mc:AlternateContent>
  <xr:revisionPtr revIDLastSave="0" documentId="13_ncr:1_{3224FC63-2FA1-5E4B-AB7A-3C00D1809CDE}" xr6:coauthVersionLast="47" xr6:coauthVersionMax="47" xr10:uidLastSave="{00000000-0000-0000-0000-000000000000}"/>
  <bookViews>
    <workbookView xWindow="17380" yWindow="-21100" windowWidth="36620" windowHeight="19660" activeTab="2" xr2:uid="{00000000-000D-0000-FFFF-FFFF00000000}"/>
  </bookViews>
  <sheets>
    <sheet name="README" sheetId="23" r:id="rId1"/>
    <sheet name="CastList" sheetId="8" r:id="rId2"/>
    <sheet name="CastLog_ROV" sheetId="21" r:id="rId3"/>
    <sheet name="SampleList" sheetId="7" r:id="rId4"/>
    <sheet name="OxygenLog_all" sheetId="18" r:id="rId5"/>
    <sheet name="ChloroLog_all" sheetId="24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1" i="18" l="1"/>
  <c r="V11" i="18"/>
  <c r="I108" i="18"/>
  <c r="J108" i="18"/>
  <c r="I109" i="18"/>
  <c r="J109" i="18"/>
  <c r="I110" i="18"/>
  <c r="J110" i="18"/>
  <c r="I111" i="18"/>
  <c r="J111" i="18"/>
  <c r="I112" i="18"/>
  <c r="J112" i="18"/>
  <c r="I113" i="18"/>
  <c r="J113" i="18"/>
  <c r="I114" i="18"/>
  <c r="J114" i="18"/>
  <c r="I115" i="18"/>
  <c r="J115" i="18"/>
  <c r="I116" i="18"/>
  <c r="J116" i="18"/>
  <c r="I117" i="18"/>
  <c r="J117" i="18"/>
  <c r="I118" i="18"/>
  <c r="J118" i="18"/>
  <c r="W10" i="18"/>
  <c r="J107" i="18" s="1"/>
  <c r="V10" i="18"/>
  <c r="I101" i="18" s="1"/>
  <c r="W9" i="18"/>
  <c r="J71" i="18" s="1"/>
  <c r="V9" i="18"/>
  <c r="I71" i="18" s="1"/>
  <c r="W8" i="18"/>
  <c r="J57" i="18" s="1"/>
  <c r="V8" i="18"/>
  <c r="I61" i="18" s="1"/>
  <c r="W7" i="18"/>
  <c r="J49" i="18" s="1"/>
  <c r="V7" i="18"/>
  <c r="I48" i="18" s="1"/>
  <c r="J91" i="18" l="1"/>
  <c r="I91" i="18"/>
  <c r="I73" i="18"/>
  <c r="J73" i="18"/>
  <c r="J77" i="18"/>
  <c r="J82" i="18"/>
  <c r="J104" i="18"/>
  <c r="J93" i="18"/>
  <c r="I47" i="18"/>
  <c r="J87" i="18"/>
  <c r="J98" i="18"/>
  <c r="J103" i="18"/>
  <c r="J60" i="18"/>
  <c r="I53" i="18"/>
  <c r="J53" i="18"/>
  <c r="I67" i="18"/>
  <c r="I69" i="18"/>
  <c r="J58" i="18"/>
  <c r="J72" i="18"/>
  <c r="I105" i="18"/>
  <c r="I64" i="18"/>
  <c r="J47" i="18"/>
  <c r="J54" i="18"/>
  <c r="I58" i="18"/>
  <c r="J59" i="18"/>
  <c r="I54" i="18"/>
  <c r="I68" i="18"/>
  <c r="I60" i="18"/>
  <c r="I65" i="18"/>
  <c r="I59" i="18"/>
  <c r="I66" i="18"/>
  <c r="I72" i="18"/>
  <c r="I55" i="18"/>
  <c r="I62" i="18"/>
  <c r="J105" i="18"/>
  <c r="J55" i="18"/>
  <c r="I63" i="18"/>
  <c r="I106" i="18"/>
  <c r="I77" i="18"/>
  <c r="I82" i="18"/>
  <c r="I87" i="18"/>
  <c r="I93" i="18"/>
  <c r="I98" i="18"/>
  <c r="I103" i="18"/>
  <c r="I83" i="18"/>
  <c r="I99" i="18"/>
  <c r="J78" i="18"/>
  <c r="J88" i="18"/>
  <c r="I84" i="18"/>
  <c r="I88" i="18"/>
  <c r="I104" i="18"/>
  <c r="J83" i="18"/>
  <c r="J94" i="18"/>
  <c r="I79" i="18"/>
  <c r="I95" i="18"/>
  <c r="J50" i="18"/>
  <c r="J79" i="18"/>
  <c r="J89" i="18"/>
  <c r="J100" i="18"/>
  <c r="I51" i="18"/>
  <c r="I80" i="18"/>
  <c r="I85" i="18"/>
  <c r="I96" i="18"/>
  <c r="J51" i="18"/>
  <c r="J61" i="18"/>
  <c r="J75" i="18"/>
  <c r="J90" i="18"/>
  <c r="J101" i="18"/>
  <c r="J106" i="18"/>
  <c r="I49" i="18"/>
  <c r="I52" i="18"/>
  <c r="I57" i="18"/>
  <c r="I70" i="18"/>
  <c r="I76" i="18"/>
  <c r="I81" i="18"/>
  <c r="I86" i="18"/>
  <c r="I92" i="18"/>
  <c r="I97" i="18"/>
  <c r="I102" i="18"/>
  <c r="I107" i="18"/>
  <c r="I78" i="18"/>
  <c r="I94" i="18"/>
  <c r="J99" i="18"/>
  <c r="I50" i="18"/>
  <c r="I74" i="18"/>
  <c r="I89" i="18"/>
  <c r="I100" i="18"/>
  <c r="J74" i="18"/>
  <c r="J84" i="18"/>
  <c r="J95" i="18"/>
  <c r="I56" i="18"/>
  <c r="I75" i="18"/>
  <c r="I90" i="18"/>
  <c r="J48" i="18"/>
  <c r="J56" i="18"/>
  <c r="J80" i="18"/>
  <c r="J85" i="18"/>
  <c r="J96" i="18"/>
  <c r="J52" i="18"/>
  <c r="J76" i="18"/>
  <c r="J81" i="18"/>
  <c r="J86" i="18"/>
  <c r="J92" i="18"/>
  <c r="J97" i="18"/>
  <c r="J102" i="18"/>
  <c r="J67" i="18"/>
  <c r="J68" i="18"/>
  <c r="J62" i="18"/>
  <c r="J69" i="18"/>
  <c r="J63" i="18"/>
  <c r="J64" i="18"/>
  <c r="J65" i="18"/>
  <c r="J70" i="18"/>
  <c r="J66" i="18"/>
  <c r="W6" i="18"/>
  <c r="J46" i="18" s="1"/>
  <c r="V6" i="18"/>
  <c r="I46" i="18" s="1"/>
  <c r="W5" i="18"/>
  <c r="J43" i="18" s="1"/>
  <c r="V5" i="18"/>
  <c r="I44" i="18" s="1"/>
  <c r="A17" i="18" a="1"/>
  <c r="F84" i="18" s="1"/>
  <c r="E10" i="24" a="1"/>
  <c r="E10" i="24" s="1"/>
  <c r="A10" i="24" a="1"/>
  <c r="A10" i="24" s="1"/>
  <c r="V4" i="18"/>
  <c r="I25" i="18" s="1"/>
  <c r="W4" i="18"/>
  <c r="J17" i="18" s="1"/>
  <c r="K84" i="18" l="1"/>
  <c r="I33" i="18"/>
  <c r="J36" i="18"/>
  <c r="J42" i="18"/>
  <c r="J34" i="18"/>
  <c r="I42" i="18"/>
  <c r="J45" i="18"/>
  <c r="J25" i="18"/>
  <c r="I45" i="18"/>
  <c r="J26" i="18"/>
  <c r="I43" i="18"/>
  <c r="J44" i="18"/>
  <c r="I36" i="18"/>
  <c r="J31" i="18"/>
  <c r="I30" i="18"/>
  <c r="I37" i="18"/>
  <c r="I31" i="18"/>
  <c r="J32" i="18"/>
  <c r="J20" i="18"/>
  <c r="J40" i="18"/>
  <c r="J37" i="18"/>
  <c r="J38" i="18"/>
  <c r="I38" i="18"/>
  <c r="I32" i="18"/>
  <c r="J23" i="18"/>
  <c r="J33" i="18"/>
  <c r="I41" i="18"/>
  <c r="F118" i="18"/>
  <c r="K118" i="18" s="1"/>
  <c r="J39" i="18"/>
  <c r="I40" i="18"/>
  <c r="J35" i="18"/>
  <c r="J30" i="18"/>
  <c r="I35" i="18"/>
  <c r="J41" i="18"/>
  <c r="I34" i="18"/>
  <c r="I39" i="18"/>
  <c r="F116" i="18"/>
  <c r="K116" i="18" s="1"/>
  <c r="F106" i="18"/>
  <c r="K106" i="18" s="1"/>
  <c r="F96" i="18"/>
  <c r="K96" i="18" s="1"/>
  <c r="F86" i="18"/>
  <c r="K86" i="18" s="1"/>
  <c r="F76" i="18"/>
  <c r="K76" i="18" s="1"/>
  <c r="F103" i="18"/>
  <c r="K103" i="18" s="1"/>
  <c r="F73" i="18"/>
  <c r="K73" i="18" s="1"/>
  <c r="F102" i="18"/>
  <c r="K102" i="18" s="1"/>
  <c r="F101" i="18"/>
  <c r="K101" i="18" s="1"/>
  <c r="F90" i="18"/>
  <c r="K90" i="18" s="1"/>
  <c r="F109" i="18"/>
  <c r="K109" i="18" s="1"/>
  <c r="F79" i="18"/>
  <c r="K79" i="18" s="1"/>
  <c r="F98" i="18"/>
  <c r="K98" i="18" s="1"/>
  <c r="F115" i="18"/>
  <c r="K115" i="18" s="1"/>
  <c r="F105" i="18"/>
  <c r="K105" i="18" s="1"/>
  <c r="F95" i="18"/>
  <c r="K95" i="18" s="1"/>
  <c r="F85" i="18"/>
  <c r="K85" i="18" s="1"/>
  <c r="F75" i="18"/>
  <c r="K75" i="18" s="1"/>
  <c r="F93" i="18"/>
  <c r="K93" i="18" s="1"/>
  <c r="F112" i="18"/>
  <c r="K112" i="18" s="1"/>
  <c r="F92" i="18"/>
  <c r="K92" i="18" s="1"/>
  <c r="F111" i="18"/>
  <c r="K111" i="18" s="1"/>
  <c r="F91" i="18"/>
  <c r="K91" i="18" s="1"/>
  <c r="F110" i="18"/>
  <c r="K110" i="18" s="1"/>
  <c r="F100" i="18"/>
  <c r="K100" i="18" s="1"/>
  <c r="F89" i="18"/>
  <c r="K89" i="18" s="1"/>
  <c r="F78" i="18"/>
  <c r="K78" i="18" s="1"/>
  <c r="F114" i="18"/>
  <c r="K114" i="18" s="1"/>
  <c r="F104" i="18"/>
  <c r="K104" i="18" s="1"/>
  <c r="F94" i="18"/>
  <c r="K94" i="18" s="1"/>
  <c r="F74" i="18"/>
  <c r="K74" i="18" s="1"/>
  <c r="F113" i="18"/>
  <c r="K113" i="18" s="1"/>
  <c r="F83" i="18"/>
  <c r="K83" i="18" s="1"/>
  <c r="F82" i="18"/>
  <c r="K82" i="18" s="1"/>
  <c r="F81" i="18"/>
  <c r="K81" i="18" s="1"/>
  <c r="F80" i="18"/>
  <c r="K80" i="18" s="1"/>
  <c r="F99" i="18"/>
  <c r="K99" i="18" s="1"/>
  <c r="F108" i="18"/>
  <c r="K108" i="18" s="1"/>
  <c r="F88" i="18"/>
  <c r="K88" i="18" s="1"/>
  <c r="F117" i="18"/>
  <c r="K117" i="18" s="1"/>
  <c r="F107" i="18"/>
  <c r="K107" i="18" s="1"/>
  <c r="F97" i="18"/>
  <c r="K97" i="18" s="1"/>
  <c r="F87" i="18"/>
  <c r="K87" i="18" s="1"/>
  <c r="F77" i="18"/>
  <c r="K77" i="18" s="1"/>
  <c r="F63" i="18"/>
  <c r="K63" i="18" s="1"/>
  <c r="F53" i="18"/>
  <c r="K53" i="18" s="1"/>
  <c r="F43" i="18"/>
  <c r="F33" i="18"/>
  <c r="F23" i="18"/>
  <c r="F72" i="18"/>
  <c r="K72" i="18" s="1"/>
  <c r="F62" i="18"/>
  <c r="K62" i="18" s="1"/>
  <c r="F52" i="18"/>
  <c r="K52" i="18" s="1"/>
  <c r="F42" i="18"/>
  <c r="F22" i="18"/>
  <c r="F61" i="18"/>
  <c r="K61" i="18" s="1"/>
  <c r="F51" i="18"/>
  <c r="K51" i="18" s="1"/>
  <c r="F41" i="18"/>
  <c r="F31" i="18"/>
  <c r="F21" i="18"/>
  <c r="F60" i="18"/>
  <c r="K60" i="18" s="1"/>
  <c r="F50" i="18"/>
  <c r="K50" i="18" s="1"/>
  <c r="F40" i="18"/>
  <c r="F30" i="18"/>
  <c r="F20" i="18"/>
  <c r="F69" i="18"/>
  <c r="K69" i="18" s="1"/>
  <c r="F59" i="18"/>
  <c r="K59" i="18" s="1"/>
  <c r="F49" i="18"/>
  <c r="K49" i="18" s="1"/>
  <c r="F39" i="18"/>
  <c r="F29" i="18"/>
  <c r="F19" i="18"/>
  <c r="F68" i="18"/>
  <c r="K68" i="18" s="1"/>
  <c r="F58" i="18"/>
  <c r="K58" i="18" s="1"/>
  <c r="F48" i="18"/>
  <c r="K48" i="18" s="1"/>
  <c r="F38" i="18"/>
  <c r="F28" i="18"/>
  <c r="F18" i="18"/>
  <c r="F57" i="18"/>
  <c r="K57" i="18" s="1"/>
  <c r="F37" i="18"/>
  <c r="F55" i="18"/>
  <c r="K55" i="18" s="1"/>
  <c r="F35" i="18"/>
  <c r="F54" i="18"/>
  <c r="K54" i="18" s="1"/>
  <c r="F24" i="18"/>
  <c r="F32" i="18"/>
  <c r="F47" i="18"/>
  <c r="K47" i="18" s="1"/>
  <c r="F45" i="18"/>
  <c r="F64" i="18"/>
  <c r="K64" i="18" s="1"/>
  <c r="F71" i="18"/>
  <c r="K71" i="18" s="1"/>
  <c r="F67" i="18"/>
  <c r="K67" i="18" s="1"/>
  <c r="F27" i="18"/>
  <c r="F25" i="18"/>
  <c r="F44" i="18"/>
  <c r="K44" i="18" s="1"/>
  <c r="F70" i="18"/>
  <c r="K70" i="18" s="1"/>
  <c r="F66" i="18"/>
  <c r="K66" i="18" s="1"/>
  <c r="F56" i="18"/>
  <c r="K56" i="18" s="1"/>
  <c r="F46" i="18"/>
  <c r="K46" i="18" s="1"/>
  <c r="F36" i="18"/>
  <c r="F26" i="18"/>
  <c r="F65" i="18"/>
  <c r="K65" i="18" s="1"/>
  <c r="F34" i="18"/>
  <c r="J21" i="18"/>
  <c r="J22" i="18"/>
  <c r="J24" i="18"/>
  <c r="J27" i="18"/>
  <c r="J18" i="18"/>
  <c r="J28" i="18"/>
  <c r="J19" i="18"/>
  <c r="J29" i="18"/>
  <c r="I21" i="18"/>
  <c r="I26" i="18"/>
  <c r="I27" i="18"/>
  <c r="I18" i="18"/>
  <c r="I23" i="18"/>
  <c r="I28" i="18"/>
  <c r="I22" i="18"/>
  <c r="I24" i="18"/>
  <c r="I29" i="18"/>
  <c r="I19" i="18"/>
  <c r="I17" i="18"/>
  <c r="I20" i="18"/>
  <c r="F17" i="18"/>
  <c r="A17" i="18"/>
  <c r="K32" i="18" l="1"/>
  <c r="K34" i="18"/>
  <c r="K37" i="18"/>
  <c r="K25" i="18"/>
  <c r="K45" i="18"/>
  <c r="K31" i="18"/>
  <c r="K33" i="18"/>
  <c r="K42" i="18"/>
  <c r="K35" i="18"/>
  <c r="K43" i="18"/>
  <c r="K38" i="18"/>
  <c r="K36" i="18"/>
  <c r="K41" i="18"/>
  <c r="K30" i="18"/>
  <c r="K39" i="18"/>
  <c r="K40" i="18"/>
  <c r="K29" i="18"/>
  <c r="K24" i="18"/>
  <c r="K21" i="18"/>
  <c r="K19" i="18"/>
  <c r="K22" i="18"/>
  <c r="K28" i="18"/>
  <c r="K23" i="18"/>
  <c r="K18" i="18"/>
  <c r="K20" i="18"/>
  <c r="K27" i="18"/>
  <c r="K26" i="18"/>
  <c r="K1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<sst xmlns="http://schemas.openxmlformats.org/spreadsheetml/2006/main" count="1884" uniqueCount="589">
  <si>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</si>
  <si>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</si>
  <si>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</si>
  <si>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</si>
  <si>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</si>
  <si>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</si>
  <si>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</si>
  <si>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</si>
  <si>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</si>
  <si>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</si>
  <si>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</si>
  <si>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</si>
  <si>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</si>
  <si>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</si>
  <si>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</si>
  <si>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</si>
  <si>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</si>
  <si>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</si>
  <si>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</si>
  <si>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</si>
  <si>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</si>
  <si>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</si>
  <si>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</si>
  <si>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</si>
  <si>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</si>
  <si>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</si>
  <si>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</si>
  <si>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</si>
  <si>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</si>
  <si>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</si>
  <si>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</si>
  <si>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</si>
  <si>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</si>
  <si>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</si>
  <si>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</si>
  <si>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</si>
  <si>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</si>
  <si>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</si>
  <si>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</si>
  <si>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</si>
  <si>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</si>
  <si>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</si>
  <si>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</si>
  <si>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</si>
  <si>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</si>
  <si>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</si>
  <si>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</si>
  <si>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</si>
  <si>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</si>
  <si>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</si>
  <si>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</si>
  <si>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</si>
  <si>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</si>
  <si>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</si>
  <si>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</si>
  <si>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</si>
  <si>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</si>
  <si>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</si>
  <si>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</si>
  <si>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</si>
  <si>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</si>
  <si>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</si>
  <si>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</si>
  <si>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</si>
  <si>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</si>
  <si>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</si>
  <si>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</si>
  <si>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</si>
  <si>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</si>
  <si>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</si>
  <si>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</si>
  <si>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</si>
  <si>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</si>
  <si>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</si>
  <si>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</si>
  <si>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</si>
  <si>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</si>
  <si>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</si>
  <si>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</si>
  <si>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</si>
  <si>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</si>
  <si>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</si>
  <si>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</si>
  <si>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</si>
  <si>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</si>
  <si>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</si>
  <si>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</si>
  <si>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</si>
  <si>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</si>
  <si>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</si>
  <si>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</si>
  <si>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</si>
  <si>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</si>
  <si>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</si>
  <si>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</si>
  <si>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</si>
  <si>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</si>
  <si>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</si>
  <si>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</si>
  <si>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</si>
  <si>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</si>
  <si>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</si>
  <si>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</si>
  <si>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</si>
  <si>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</si>
  <si>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</si>
  <si>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</si>
  <si>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</si>
  <si>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</si>
  <si>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</si>
  <si>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</si>
  <si>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</si>
  <si>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</si>
  <si>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</si>
  <si>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</si>
  <si>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</si>
  <si>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</si>
  <si>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</si>
  <si>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</si>
  <si>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</si>
  <si>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</si>
  <si>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</si>
  <si>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</si>
  <si>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</si>
  <si>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</si>
  <si>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</si>
  <si>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</si>
  <si>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</si>
  <si>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</si>
  <si>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</si>
  <si>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</si>
  <si>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</si>
  <si>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</si>
  <si>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</si>
  <si>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</si>
  <si>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</si>
  <si>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</si>
  <si>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</si>
  <si>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</si>
  <si>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</si>
  <si>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</si>
  <si>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</si>
  <si>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</si>
  <si>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</si>
  <si>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</si>
  <si>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</si>
  <si>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</si>
  <si>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</si>
  <si>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</si>
  <si>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</si>
  <si>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</si>
  <si>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</si>
  <si>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</si>
  <si>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</si>
  <si>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</si>
  <si>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</si>
  <si>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</si>
  <si>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</si>
  <si>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</si>
  <si>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</si>
  <si>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</si>
  <si>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</si>
  <si>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</si>
  <si>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</si>
  <si>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</si>
  <si>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</si>
  <si>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</si>
  <si>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</si>
  <si>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</si>
  <si>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</si>
  <si>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</si>
  <si>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</si>
  <si>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</si>
  <si>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</si>
  <si>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</si>
  <si>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</si>
  <si>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</si>
  <si>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</si>
  <si>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</si>
  <si>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</si>
  <si>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</si>
  <si>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</si>
  <si>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</si>
  <si>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</si>
  <si>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</si>
  <si>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</si>
  <si>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</si>
  <si>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</si>
  <si>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</si>
  <si>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</si>
  <si>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</si>
  <si>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</si>
  <si>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</si>
  <si>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</si>
  <si>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</si>
  <si>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</si>
  <si>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</si>
  <si>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</si>
  <si>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</si>
  <si>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</si>
  <si>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</si>
  <si>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</si>
  <si>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</si>
  <si>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</si>
  <si>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</si>
  <si>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</si>
  <si>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</si>
  <si>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</si>
  <si>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</si>
  <si>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</si>
  <si>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</si>
  <si>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</si>
  <si>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</si>
  <si>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</si>
  <si>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</si>
  <si>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</si>
  <si>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</si>
  <si>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</si>
  <si>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</si>
  <si>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</si>
  <si>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</si>
  <si>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</si>
  <si>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</si>
  <si>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</si>
  <si>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</si>
  <si>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</si>
  <si>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</si>
  <si>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</si>
  <si>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</si>
  <si>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</si>
  <si>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</si>
  <si>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</si>
  <si>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</si>
  <si>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</si>
  <si>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</si>
  <si>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</si>
  <si>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</si>
  <si>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OXY-361</t>
  </si>
  <si>
    <t>OXY-362</t>
  </si>
  <si>
    <t>OXY-363</t>
  </si>
  <si>
    <t>OXY-364A</t>
  </si>
  <si>
    <t>OXY-365</t>
  </si>
  <si>
    <t>OXY-366A</t>
  </si>
  <si>
    <t>OXY-367</t>
  </si>
  <si>
    <t>OXY-368</t>
  </si>
  <si>
    <t>OXY-369</t>
  </si>
  <si>
    <t>OXY-370</t>
  </si>
  <si>
    <t>OXY-371</t>
  </si>
  <si>
    <t>OXY-372</t>
  </si>
  <si>
    <t>OXY-373A</t>
  </si>
  <si>
    <t>OXY-374</t>
  </si>
  <si>
    <t>OXY-375</t>
  </si>
  <si>
    <t>OXY-376</t>
  </si>
  <si>
    <t>OXY-377</t>
  </si>
  <si>
    <t>OXY-378A</t>
  </si>
  <si>
    <t>OXY-379</t>
  </si>
  <si>
    <t>OXY-380</t>
  </si>
  <si>
    <t>OXY-381</t>
  </si>
  <si>
    <t>OXY-382</t>
  </si>
  <si>
    <t>OXY-383</t>
  </si>
  <si>
    <t>OXY-384A</t>
  </si>
  <si>
    <t>Axial Central Caldera</t>
  </si>
  <si>
    <t>Axial Eastern Caldera</t>
  </si>
  <si>
    <t>Axial ASHS Vent Field</t>
  </si>
  <si>
    <t>CTDPFB304</t>
  </si>
  <si>
    <t>CTDPFB305</t>
  </si>
  <si>
    <t>CTDPFB306</t>
  </si>
  <si>
    <t>Calibration coefficients &gt; 1 year old,Acceptable measurement</t>
  </si>
  <si>
    <t>Acceptable measurement,Calibration coefficients &gt; 1 year old</t>
  </si>
  <si>
    <t>OXY-145</t>
  </si>
  <si>
    <t>OXY-146A</t>
  </si>
  <si>
    <t>OXY-147</t>
  </si>
  <si>
    <t>OXY-148B</t>
  </si>
  <si>
    <t>OXY-149</t>
  </si>
  <si>
    <t>OXY-150</t>
  </si>
  <si>
    <t>OXY-151A</t>
  </si>
  <si>
    <t>OXY-152B</t>
  </si>
  <si>
    <t>OXY-153</t>
  </si>
  <si>
    <t>OXY-154</t>
  </si>
  <si>
    <t>OXY-155</t>
  </si>
  <si>
    <t>OXY-156</t>
  </si>
  <si>
    <t>OXY-157A</t>
  </si>
  <si>
    <t>OXY-158</t>
  </si>
  <si>
    <t>OXY-159</t>
  </si>
  <si>
    <t>OXY-160A</t>
  </si>
  <si>
    <t>OXY-161</t>
  </si>
  <si>
    <t>OXY-162</t>
  </si>
  <si>
    <t>OXY-163</t>
  </si>
  <si>
    <t>OXY-164</t>
  </si>
  <si>
    <t>OXY-165</t>
  </si>
  <si>
    <t>OXY-166</t>
  </si>
  <si>
    <t>OXY-167</t>
  </si>
  <si>
    <t>OXY-168A</t>
  </si>
  <si>
    <t>OXY-313A</t>
  </si>
  <si>
    <t>OXY-314</t>
  </si>
  <si>
    <t>OXY-315</t>
  </si>
  <si>
    <t>OXY-316</t>
  </si>
  <si>
    <t>OXY-317A</t>
  </si>
  <si>
    <t>OXY-318</t>
  </si>
  <si>
    <t>OXY-319</t>
  </si>
  <si>
    <t>OXY-320</t>
  </si>
  <si>
    <t>OXY-321A</t>
  </si>
  <si>
    <t>OXY-322</t>
  </si>
  <si>
    <t>OXY-323</t>
  </si>
  <si>
    <t>OXY-324A</t>
  </si>
  <si>
    <t>OXY-325</t>
  </si>
  <si>
    <t>OXY-326</t>
  </si>
  <si>
    <t>OXY-327</t>
  </si>
  <si>
    <t>OXY-328</t>
  </si>
  <si>
    <t>OXY-329</t>
  </si>
  <si>
    <t>OXY-330</t>
  </si>
  <si>
    <t>OXY-331</t>
  </si>
  <si>
    <t>OXY-332</t>
  </si>
  <si>
    <t>OXY-333</t>
  </si>
  <si>
    <t>OXY-334</t>
  </si>
  <si>
    <t>OXY-335</t>
  </si>
  <si>
    <t>OXY-336</t>
  </si>
  <si>
    <t>TN422</t>
  </si>
  <si>
    <t>CTD-001</t>
  </si>
  <si>
    <t>TN422_CTD-001</t>
  </si>
  <si>
    <t>DIC-152</t>
  </si>
  <si>
    <t>NUT-4127</t>
  </si>
  <si>
    <t>DIC-172</t>
  </si>
  <si>
    <t>NUT-4126</t>
  </si>
  <si>
    <t>DIC-171</t>
  </si>
  <si>
    <t>NUT-4125</t>
  </si>
  <si>
    <t>SA-217</t>
  </si>
  <si>
    <t>CHL-010</t>
  </si>
  <si>
    <t>DIC-161</t>
  </si>
  <si>
    <t>DIC-156</t>
  </si>
  <si>
    <t>DIC-151</t>
  </si>
  <si>
    <t>DIC-157</t>
  </si>
  <si>
    <t>DIC-153</t>
  </si>
  <si>
    <t>DIC-101</t>
  </si>
  <si>
    <t>DIC-165</t>
  </si>
  <si>
    <t>DIC-155</t>
  </si>
  <si>
    <t>DIC-160</t>
  </si>
  <si>
    <t>NUT-4124</t>
  </si>
  <si>
    <t>NUT-4123</t>
  </si>
  <si>
    <t>NUT-4122</t>
  </si>
  <si>
    <t>NUT-4121</t>
  </si>
  <si>
    <t>NUT-4120</t>
  </si>
  <si>
    <t>NUT-4119</t>
  </si>
  <si>
    <t>NUT-4118</t>
  </si>
  <si>
    <t>NUT-4117</t>
  </si>
  <si>
    <t>NUT-4116</t>
  </si>
  <si>
    <t>SA-218</t>
  </si>
  <si>
    <t>SA-219</t>
  </si>
  <si>
    <t>SA-220</t>
  </si>
  <si>
    <t>CHL-037</t>
  </si>
  <si>
    <t>CHL-026</t>
  </si>
  <si>
    <t>CHL-003</t>
  </si>
  <si>
    <t>CHL-013</t>
  </si>
  <si>
    <t>CHL-011</t>
  </si>
  <si>
    <t>CHL-009</t>
  </si>
  <si>
    <t>CHL-039</t>
  </si>
  <si>
    <t>CTD-002</t>
  </si>
  <si>
    <t>TN422_CTD-002</t>
  </si>
  <si>
    <t>DIC-149</t>
  </si>
  <si>
    <t>DIC-166</t>
  </si>
  <si>
    <t>DIC-159</t>
  </si>
  <si>
    <t>DIC-169</t>
  </si>
  <si>
    <t>DIC-154</t>
  </si>
  <si>
    <t>DIC-158</t>
  </si>
  <si>
    <t>DIC-170</t>
  </si>
  <si>
    <t>DIC-163</t>
  </si>
  <si>
    <t>DIC-150</t>
  </si>
  <si>
    <t>DIC-164</t>
  </si>
  <si>
    <t>DIC-167</t>
  </si>
  <si>
    <t>DIC-168</t>
  </si>
  <si>
    <t>NUT-4115</t>
  </si>
  <si>
    <t>NUT-4111</t>
  </si>
  <si>
    <t>NUT-4110</t>
  </si>
  <si>
    <t>NUT-4109</t>
  </si>
  <si>
    <t>NUT-4108</t>
  </si>
  <si>
    <t>NUT-4114</t>
  </si>
  <si>
    <t>NUT-4107</t>
  </si>
  <si>
    <t>NUT-4113</t>
  </si>
  <si>
    <t>NUT-4106</t>
  </si>
  <si>
    <t>NUT-4105</t>
  </si>
  <si>
    <t>NUT-4104</t>
  </si>
  <si>
    <t>NUT-4112</t>
  </si>
  <si>
    <t>SA-222</t>
  </si>
  <si>
    <t>SA-228</t>
  </si>
  <si>
    <t>SA-227</t>
  </si>
  <si>
    <t>SA-226</t>
  </si>
  <si>
    <t>SA-234</t>
  </si>
  <si>
    <t>CHL-038</t>
  </si>
  <si>
    <t>CHL-032</t>
  </si>
  <si>
    <t>CHL-024</t>
  </si>
  <si>
    <t>CHL-020</t>
  </si>
  <si>
    <t>CHL-012</t>
  </si>
  <si>
    <t>CHL-025</t>
  </si>
  <si>
    <t>CHL-007</t>
  </si>
  <si>
    <t>CHL-008</t>
  </si>
  <si>
    <t>SA-221</t>
  </si>
  <si>
    <t>CTDPFB101,DOSTAD101</t>
  </si>
  <si>
    <t>SA-225</t>
  </si>
  <si>
    <t>CTD-003</t>
  </si>
  <si>
    <t>J2-1523</t>
  </si>
  <si>
    <t>J2-1528</t>
  </si>
  <si>
    <t>DIC-109</t>
  </si>
  <si>
    <t>DIC-110</t>
  </si>
  <si>
    <t>SA-224</t>
  </si>
  <si>
    <t>TN422_CTD-003</t>
  </si>
  <si>
    <t>DIC-116</t>
  </si>
  <si>
    <t>NUT-4071</t>
  </si>
  <si>
    <t>DIC-107</t>
  </si>
  <si>
    <t>DIC-120</t>
  </si>
  <si>
    <t>DIC-124</t>
  </si>
  <si>
    <t>DIC-122</t>
  </si>
  <si>
    <t>DIC-103</t>
  </si>
  <si>
    <t>DIC-117</t>
  </si>
  <si>
    <t>DIC-114</t>
  </si>
  <si>
    <t>DIC-115</t>
  </si>
  <si>
    <t>DIC-104</t>
  </si>
  <si>
    <t>DIC-119</t>
  </si>
  <si>
    <t>DIC-105</t>
  </si>
  <si>
    <t>DIC-162</t>
  </si>
  <si>
    <t>DIC-106</t>
  </si>
  <si>
    <t>NUT-4079</t>
  </si>
  <si>
    <t>NUT-4087</t>
  </si>
  <si>
    <t>NUT-4095</t>
  </si>
  <si>
    <t>NUT-4094</t>
  </si>
  <si>
    <t>NUT-4093</t>
  </si>
  <si>
    <t>NUT-4092</t>
  </si>
  <si>
    <t>NUT-4091</t>
  </si>
  <si>
    <t>NUT-4090</t>
  </si>
  <si>
    <t>NUT-4089</t>
  </si>
  <si>
    <t>NUT-4088</t>
  </si>
  <si>
    <t>NUT-4086</t>
  </si>
  <si>
    <t>SA-229</t>
  </si>
  <si>
    <t>SA-230</t>
  </si>
  <si>
    <t>SA-231</t>
  </si>
  <si>
    <t>SA-232</t>
  </si>
  <si>
    <t>J2-1541</t>
  </si>
  <si>
    <t>DiscreteSampleFlag: DIC overpoisoned; resampled from Niskin 2</t>
  </si>
  <si>
    <t>DIC-102</t>
  </si>
  <si>
    <t>NUT-4103</t>
  </si>
  <si>
    <t>SA-236</t>
  </si>
  <si>
    <t>J2-1538</t>
  </si>
  <si>
    <t>SA-235</t>
  </si>
  <si>
    <t>CTD-004</t>
  </si>
  <si>
    <t>TN422_CTD-004</t>
  </si>
  <si>
    <t>DIC-108</t>
  </si>
  <si>
    <t>DIC-113</t>
  </si>
  <si>
    <t>DIC-121</t>
  </si>
  <si>
    <t>DIC-118</t>
  </si>
  <si>
    <t>DIC-145</t>
  </si>
  <si>
    <t>NUT-4096</t>
  </si>
  <si>
    <t>NUT-4097</t>
  </si>
  <si>
    <t>NUT-4098</t>
  </si>
  <si>
    <t>NUT-4099</t>
  </si>
  <si>
    <t>NUT-4100</t>
  </si>
  <si>
    <t>SA-239</t>
  </si>
  <si>
    <t>SA-233</t>
  </si>
  <si>
    <t>SA-237</t>
  </si>
  <si>
    <t>SA-238</t>
  </si>
  <si>
    <t>SA-240</t>
  </si>
  <si>
    <t>SA-457</t>
  </si>
  <si>
    <t>J2-1547</t>
  </si>
  <si>
    <t>amber bottle not full</t>
  </si>
  <si>
    <t>CTD-005</t>
  </si>
  <si>
    <t>TN422_CTD-005</t>
  </si>
  <si>
    <t>CTD-006</t>
  </si>
  <si>
    <t>TN422_CTD-006</t>
  </si>
  <si>
    <t>CTD-007</t>
  </si>
  <si>
    <t>TN422_CTD-007</t>
  </si>
  <si>
    <t>CTD-008</t>
  </si>
  <si>
    <t>TN422_CTD-008</t>
  </si>
  <si>
    <t>CTDPFB301,DOSTAD301</t>
  </si>
  <si>
    <t>J2-1554</t>
  </si>
  <si>
    <t>DIC-111</t>
  </si>
  <si>
    <t>DIC-123</t>
  </si>
  <si>
    <t>DIC-135</t>
  </si>
  <si>
    <t>DIC-141</t>
  </si>
  <si>
    <t>DIC-144</t>
  </si>
  <si>
    <t>DIC-133</t>
  </si>
  <si>
    <t>DIC-126</t>
  </si>
  <si>
    <t>DIC-137</t>
  </si>
  <si>
    <t>DIC-140</t>
  </si>
  <si>
    <t>DIC-128</t>
  </si>
  <si>
    <t>DIC-136</t>
  </si>
  <si>
    <t>DIC-129</t>
  </si>
  <si>
    <t>NUT-4102</t>
  </si>
  <si>
    <t>NUT-4101</t>
  </si>
  <si>
    <t>NUT-4085</t>
  </si>
  <si>
    <t>NUT-4084</t>
  </si>
  <si>
    <t>NUT-4083</t>
  </si>
  <si>
    <t>NUT-4082</t>
  </si>
  <si>
    <t>NUT-4081</t>
  </si>
  <si>
    <t>NUT-4080</t>
  </si>
  <si>
    <t>NUT-4078</t>
  </si>
  <si>
    <t>NUT-4077</t>
  </si>
  <si>
    <t>NUT-4076</t>
  </si>
  <si>
    <t>NUT-4070</t>
  </si>
  <si>
    <t>SA-458</t>
  </si>
  <si>
    <t>SA-459</t>
  </si>
  <si>
    <t>SA-460</t>
  </si>
  <si>
    <t>SA-461</t>
  </si>
  <si>
    <t>SA-462</t>
  </si>
  <si>
    <t>CHL-016</t>
  </si>
  <si>
    <t>CHL-015</t>
  </si>
  <si>
    <t>SA-468</t>
  </si>
  <si>
    <t>SA-467</t>
  </si>
  <si>
    <t>SA-466</t>
  </si>
  <si>
    <t>SA-465</t>
  </si>
  <si>
    <t>SA-464</t>
  </si>
  <si>
    <t>CHL-004</t>
  </si>
  <si>
    <t>SA-463</t>
  </si>
  <si>
    <t>SA-469</t>
  </si>
  <si>
    <t>SA-470</t>
  </si>
  <si>
    <t>SA-471</t>
  </si>
  <si>
    <t>SA-472</t>
  </si>
  <si>
    <t>CHL-028</t>
  </si>
  <si>
    <t>CHL-031</t>
  </si>
  <si>
    <t>CHL-002</t>
  </si>
  <si>
    <t>CHL-001</t>
  </si>
  <si>
    <t>SA-473</t>
  </si>
  <si>
    <t>SA-474</t>
  </si>
  <si>
    <t>SA-475</t>
  </si>
  <si>
    <t>SA-476</t>
  </si>
  <si>
    <t>SA-477</t>
  </si>
  <si>
    <t>SA-478</t>
  </si>
  <si>
    <t>filtered slowly; 2 filters</t>
  </si>
  <si>
    <t>J2-1555</t>
  </si>
  <si>
    <t>J2-1560</t>
  </si>
  <si>
    <t>SA-479</t>
  </si>
  <si>
    <t>CTD-009</t>
  </si>
  <si>
    <t>TN422-CTD-009</t>
  </si>
  <si>
    <t>SA-480</t>
  </si>
  <si>
    <t>SAL-127</t>
  </si>
  <si>
    <t>SAL-128</t>
  </si>
  <si>
    <t>SAL-129</t>
  </si>
  <si>
    <t>SAL-130</t>
  </si>
  <si>
    <t>SAL-131</t>
  </si>
  <si>
    <t>CTDPFA110</t>
  </si>
  <si>
    <t>RS03AXPD,RS03AXPS</t>
  </si>
  <si>
    <t>CE04OSPD,CE04OSPS</t>
  </si>
  <si>
    <t>RS01SBPD,RS01SBPS</t>
  </si>
  <si>
    <t>SA-223</t>
  </si>
  <si>
    <t>TN422_J2-1523</t>
  </si>
  <si>
    <t>TN422_J2-1528</t>
  </si>
  <si>
    <t>TN422_J2-1538</t>
  </si>
  <si>
    <t>TN422_J2-1541</t>
  </si>
  <si>
    <t>TN422_J2-1547</t>
  </si>
  <si>
    <t>TN422_J2-1554</t>
  </si>
  <si>
    <t>TN422_J2-1555</t>
  </si>
  <si>
    <t>TN422_J2-1560</t>
  </si>
  <si>
    <t>Sample processed using alternative method; see notes,Notes/Other</t>
  </si>
  <si>
    <t>Titrated with 1.4 mL acid</t>
  </si>
  <si>
    <t>DiscreteSampleFlag: Oxgyen titrated with 1.4 mL acid</t>
  </si>
  <si>
    <t>DiscreteSampleFlag: DIC overpoisoned; resampled from Niskin 4; Oxgyen titrated with 1.4 mL acid</t>
  </si>
  <si>
    <t>DiscreteSampleFlag: Chlorophyll filtered slowly and used 2 filters</t>
  </si>
  <si>
    <t>DiscreteSampleFlag: Chloropyll filtered less and 500 mL</t>
  </si>
  <si>
    <t>"fired";"niskin 1"</t>
  </si>
  <si>
    <t>TN-422_J2-1560_sealogExport.csv, line 283</t>
  </si>
  <si>
    <t>"Blue Niskin fired"</t>
  </si>
  <si>
    <t>"fore and aft niskin"</t>
  </si>
  <si>
    <t>TN-422_J2-1554_sealogExport.csv, line 416</t>
  </si>
  <si>
    <t>"Forward Niskin"</t>
  </si>
  <si>
    <t>TN-422_J2-1547_sealogExport.csv, line 446</t>
  </si>
  <si>
    <t>"Successful";"Water sample";"Forward Niskin"</t>
  </si>
  <si>
    <t>TN-422_J2-1538_sealogExport.csv, line 596</t>
  </si>
  <si>
    <t>"Niskin"</t>
  </si>
  <si>
    <t>TN-422_J2-1528_sealogExport.csv, line 502; dive log</t>
  </si>
  <si>
    <t>TN-422_J2-1528_sealogExport.csv, line 507; dive log</t>
  </si>
  <si>
    <t>TN-422_J2-1523_sealogExport.csv, line 821; dive log</t>
  </si>
  <si>
    <t>none</t>
  </si>
  <si>
    <t>TN-422_J2-1541_sealogExport.csv, line 642; dive log</t>
  </si>
  <si>
    <t>TN-422_J2-1555_sealogExport.csv, line 416</t>
  </si>
  <si>
    <t>2023-08-18T04:39:00.000Z</t>
  </si>
  <si>
    <t>2023-08-18T04:40:00.000Z</t>
  </si>
  <si>
    <t>2023-08-22T14:32:26.000Z</t>
  </si>
  <si>
    <t>2023-08-22T14:33:26.000Z</t>
  </si>
  <si>
    <t>2023-08-22T14:34:21.000Z</t>
  </si>
  <si>
    <t>2023-08-22T14:35:21.000Z</t>
  </si>
  <si>
    <t>2023-08-28T06:10:39.000Z</t>
  </si>
  <si>
    <t>2023-08-28T06:11:39.000Z</t>
  </si>
  <si>
    <t>2023-08-28T22:58:00.000Z</t>
  </si>
  <si>
    <t>2023-08-28T22:59:00.000Z</t>
  </si>
  <si>
    <t>2023-09-05T23:46:31.000Z</t>
  </si>
  <si>
    <t>2023-09-05T23:47:31.000Z</t>
  </si>
  <si>
    <t>2023-09-13T05:18:09.000Z</t>
  </si>
  <si>
    <t>2023-09-13T05:19:09.000Z</t>
  </si>
  <si>
    <t>2023-09-13T14:12:23.000Z</t>
  </si>
  <si>
    <t>2023-09-13T14:13:23.000Z</t>
  </si>
  <si>
    <t>2023-09-17T03:34:09.000Z</t>
  </si>
  <si>
    <t>2023-09-17T03:35:09.000Z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</si>
</sst>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  <fill>
      <patternFill patternType="solid">
        <fgColor theme="9" tint="0.79998168889431442"/>
        <bgColor rgb="FF000000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2" fontId="0" fillId="2" borderId="0" xfId="0" applyNumberFormat="1" applyFill="1"/>
    <xf numFmtId="0" fontId="5" fillId="0" borderId="0" xfId="0" applyFont="1"/>
    <xf numFmtId="0" fontId="2" fillId="0" borderId="0" xfId="0" applyFont="1" applyAlignment="1">
      <alignment horizontal="right" vertical="center"/>
    </xf>
    <xf numFmtId="0" fontId="0" fillId="5" borderId="0" xfId="0" applyFill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2" fontId="0" fillId="10" borderId="2" xfId="0" applyNumberFormat="1" applyFill="1" applyBorder="1"/>
    <xf numFmtId="2" fontId="1" fillId="11" borderId="2" xfId="0" applyNumberFormat="1" applyFont="1" applyFill="1" applyBorder="1" applyAlignment="1">
      <alignment horizontal="right"/>
    </xf>
    <xf numFmtId="0" fontId="1" fillId="11" borderId="2" xfId="0" applyFont="1" applyFill="1" applyBorder="1" applyAlignment="1">
      <alignment horizontal="right"/>
    </xf>
    <xf numFmtId="2" fontId="0" fillId="11" borderId="2" xfId="0" applyNumberFormat="1" applyFill="1" applyBorder="1"/>
    <xf numFmtId="49" fontId="1" fillId="9" borderId="2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22" fontId="0" fillId="0" borderId="2" xfId="0" applyNumberFormat="1" applyBorder="1"/>
    <xf numFmtId="49" fontId="1" fillId="0" borderId="3" xfId="0" applyNumberFormat="1" applyFont="1" applyBorder="1" applyAlignment="1">
      <alignment horizontal="right"/>
    </xf>
    <xf numFmtId="0" fontId="0" fillId="0" borderId="4" xfId="0" applyBorder="1"/>
    <xf numFmtId="0" fontId="0" fillId="2" borderId="2" xfId="0" applyFill="1" applyBorder="1"/>
    <xf numFmtId="0" fontId="1" fillId="13" borderId="2" xfId="0" applyFont="1" applyFill="1" applyBorder="1"/>
    <xf numFmtId="22" fontId="0" fillId="11" borderId="2" xfId="0" applyNumberFormat="1" applyFill="1" applyBorder="1"/>
    <xf numFmtId="22" fontId="1" fillId="2" borderId="2" xfId="0" applyNumberFormat="1" applyFont="1" applyFill="1" applyBorder="1"/>
    <xf numFmtId="0" fontId="1" fillId="2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1" xfId="0" applyBorder="1"/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0" xfId="0"/>
    <xf numFmtId="0" fontId="0" fillId="0" borderId="2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14" t="s">
        <v>217</v>
      </c>
    </row>
    <row r="11" spans="1:2" x14ac:dyDescent="0.2">
      <c r="A11" s="14" t="s">
        <v>218</v>
      </c>
    </row>
    <row r="12" spans="1:2" x14ac:dyDescent="0.2">
      <c r="A12" s="14" t="s">
        <v>219</v>
      </c>
    </row>
    <row r="13" spans="1:2" x14ac:dyDescent="0.2">
      <c r="A13" s="14" t="s">
        <v>220</v>
      </c>
    </row>
    <row r="14" spans="1:2" x14ac:dyDescent="0.2">
      <c r="A14" s="14" t="s">
        <v>221</v>
      </c>
    </row>
    <row r="15" spans="1:2" x14ac:dyDescent="0.2">
      <c r="A15" s="14" t="s">
        <v>222</v>
      </c>
    </row>
    <row r="16" spans="1:2" x14ac:dyDescent="0.2">
      <c r="A16" s="14" t="s">
        <v>223</v>
      </c>
    </row>
    <row r="17" spans="1:1" x14ac:dyDescent="0.2">
      <c r="A17" s="14" t="s">
        <v>224</v>
      </c>
    </row>
    <row r="18" spans="1:1" x14ac:dyDescent="0.2">
      <c r="A18" s="14" t="s">
        <v>225</v>
      </c>
    </row>
    <row r="19" spans="1:1" x14ac:dyDescent="0.2">
      <c r="A19" s="14" t="s">
        <v>226</v>
      </c>
    </row>
    <row r="20" spans="1:1" x14ac:dyDescent="0.2">
      <c r="A20" s="14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20"/>
  <sheetViews>
    <sheetView zoomScale="112" workbookViewId="0">
      <selection activeCell="D5" sqref="D5"/>
    </sheetView>
  </sheetViews>
  <sheetFormatPr baseColWidth="10" defaultColWidth="12.33203125" defaultRowHeight="16" x14ac:dyDescent="0.2"/>
  <cols>
    <col min="1" max="1" width="12.33203125" style="24"/>
    <col min="2" max="2" width="39.33203125" style="19" bestFit="1" customWidth="1"/>
    <col min="3" max="3" width="28.83203125" style="19" bestFit="1" customWidth="1"/>
    <col min="4" max="4" width="12.33203125" style="26"/>
    <col min="5" max="5" width="35.83203125" style="19" bestFit="1" customWidth="1"/>
    <col min="6" max="6" width="30.33203125" style="26" bestFit="1" customWidth="1"/>
    <col min="7" max="7" width="36" style="35" bestFit="1" customWidth="1"/>
    <col min="8" max="8" width="37.6640625" style="22" bestFit="1" customWidth="1"/>
    <col min="9" max="9" width="12.33203125" style="26"/>
    <col min="10" max="16384" width="12.33203125" style="19"/>
  </cols>
  <sheetData>
    <row r="1" spans="1:9" x14ac:dyDescent="0.2">
      <c r="A1" s="23" t="s">
        <v>15</v>
      </c>
      <c r="B1" s="17" t="s">
        <v>16</v>
      </c>
      <c r="C1" s="17" t="s">
        <v>17</v>
      </c>
      <c r="D1" s="25" t="s">
        <v>14</v>
      </c>
      <c r="E1" s="17" t="s">
        <v>18</v>
      </c>
      <c r="F1" s="25" t="s">
        <v>67</v>
      </c>
      <c r="G1" s="34" t="s">
        <v>68</v>
      </c>
      <c r="H1" s="18" t="s">
        <v>69</v>
      </c>
      <c r="I1" s="25" t="s">
        <v>0</v>
      </c>
    </row>
    <row r="2" spans="1:9" x14ac:dyDescent="0.2">
      <c r="A2" s="24" t="s">
        <v>317</v>
      </c>
      <c r="B2" s="19" t="s">
        <v>75</v>
      </c>
      <c r="C2" s="20" t="s">
        <v>82</v>
      </c>
      <c r="D2" s="26" t="s">
        <v>318</v>
      </c>
      <c r="E2" s="20" t="s">
        <v>23</v>
      </c>
      <c r="F2" s="26">
        <v>582</v>
      </c>
      <c r="G2" s="33" t="s">
        <v>319</v>
      </c>
      <c r="H2" s="21" t="s">
        <v>37</v>
      </c>
    </row>
    <row r="3" spans="1:9" x14ac:dyDescent="0.2">
      <c r="A3" s="24" t="s">
        <v>317</v>
      </c>
      <c r="B3" s="19" t="s">
        <v>76</v>
      </c>
      <c r="C3" s="20" t="s">
        <v>84</v>
      </c>
      <c r="D3" s="26" t="s">
        <v>356</v>
      </c>
      <c r="E3" s="20" t="s">
        <v>23</v>
      </c>
      <c r="F3" s="26">
        <v>2900</v>
      </c>
      <c r="G3" s="33" t="s">
        <v>357</v>
      </c>
      <c r="H3" s="21" t="s">
        <v>37</v>
      </c>
    </row>
    <row r="4" spans="1:9" x14ac:dyDescent="0.2">
      <c r="A4" s="24" t="s">
        <v>317</v>
      </c>
      <c r="B4" s="19" t="s">
        <v>228</v>
      </c>
      <c r="C4" s="20" t="s">
        <v>396</v>
      </c>
      <c r="D4" s="26" t="s">
        <v>399</v>
      </c>
      <c r="E4" s="20" t="s">
        <v>34</v>
      </c>
      <c r="F4" s="26">
        <v>2906</v>
      </c>
      <c r="G4" s="33" t="s">
        <v>541</v>
      </c>
      <c r="H4" s="21" t="s">
        <v>37</v>
      </c>
    </row>
    <row r="5" spans="1:9" x14ac:dyDescent="0.2">
      <c r="A5" s="24" t="s">
        <v>317</v>
      </c>
      <c r="B5" s="19" t="s">
        <v>208</v>
      </c>
      <c r="C5" s="20" t="s">
        <v>79</v>
      </c>
      <c r="D5" s="26" t="s">
        <v>400</v>
      </c>
      <c r="E5" s="20" t="s">
        <v>34</v>
      </c>
      <c r="F5" s="26">
        <v>80</v>
      </c>
      <c r="G5" s="33" t="s">
        <v>542</v>
      </c>
      <c r="H5" s="21" t="s">
        <v>37</v>
      </c>
    </row>
    <row r="6" spans="1:9" x14ac:dyDescent="0.2">
      <c r="A6" s="24" t="s">
        <v>317</v>
      </c>
      <c r="B6" s="19" t="s">
        <v>71</v>
      </c>
      <c r="C6" s="20" t="s">
        <v>88</v>
      </c>
      <c r="D6" s="26" t="s">
        <v>398</v>
      </c>
      <c r="E6" s="20" t="s">
        <v>23</v>
      </c>
      <c r="F6" s="26">
        <v>2615</v>
      </c>
      <c r="G6" s="36" t="s">
        <v>404</v>
      </c>
      <c r="H6" s="21" t="s">
        <v>37</v>
      </c>
    </row>
    <row r="7" spans="1:9" x14ac:dyDescent="0.2">
      <c r="A7" s="24" t="s">
        <v>317</v>
      </c>
      <c r="B7" s="19" t="s">
        <v>78</v>
      </c>
      <c r="C7" s="20" t="s">
        <v>536</v>
      </c>
      <c r="D7" s="26" t="s">
        <v>440</v>
      </c>
      <c r="E7" s="20" t="s">
        <v>34</v>
      </c>
      <c r="F7" s="26">
        <v>770</v>
      </c>
      <c r="G7" s="36" t="s">
        <v>543</v>
      </c>
      <c r="H7" s="21" t="s">
        <v>37</v>
      </c>
    </row>
    <row r="8" spans="1:9" x14ac:dyDescent="0.2">
      <c r="A8" s="24" t="s">
        <v>317</v>
      </c>
      <c r="B8" s="19" t="s">
        <v>207</v>
      </c>
      <c r="C8" s="20" t="s">
        <v>80</v>
      </c>
      <c r="D8" s="26" t="s">
        <v>435</v>
      </c>
      <c r="E8" s="20" t="s">
        <v>34</v>
      </c>
      <c r="F8" s="26">
        <v>580</v>
      </c>
      <c r="G8" s="36" t="s">
        <v>544</v>
      </c>
      <c r="H8" s="21" t="s">
        <v>37</v>
      </c>
    </row>
    <row r="9" spans="1:9" x14ac:dyDescent="0.2">
      <c r="A9" s="24" t="s">
        <v>317</v>
      </c>
      <c r="B9" s="19" t="s">
        <v>72</v>
      </c>
      <c r="C9" s="20" t="s">
        <v>537</v>
      </c>
      <c r="D9" s="26" t="s">
        <v>442</v>
      </c>
      <c r="E9" s="20" t="s">
        <v>23</v>
      </c>
      <c r="F9" s="26">
        <v>2614</v>
      </c>
      <c r="G9" s="36" t="s">
        <v>443</v>
      </c>
      <c r="H9" s="21" t="s">
        <v>37</v>
      </c>
    </row>
    <row r="10" spans="1:9" x14ac:dyDescent="0.2">
      <c r="A10" s="24" t="s">
        <v>317</v>
      </c>
      <c r="B10" s="19" t="s">
        <v>263</v>
      </c>
      <c r="C10" s="20" t="s">
        <v>264</v>
      </c>
      <c r="D10" s="26" t="s">
        <v>460</v>
      </c>
      <c r="E10" s="20" t="s">
        <v>34</v>
      </c>
      <c r="F10" s="26">
        <v>1540</v>
      </c>
      <c r="G10" s="36" t="s">
        <v>545</v>
      </c>
      <c r="H10" s="21" t="s">
        <v>37</v>
      </c>
    </row>
    <row r="11" spans="1:9" x14ac:dyDescent="0.2">
      <c r="A11" s="24" t="s">
        <v>317</v>
      </c>
      <c r="B11" s="19" t="s">
        <v>74</v>
      </c>
      <c r="C11" s="20" t="s">
        <v>538</v>
      </c>
      <c r="D11" s="26" t="s">
        <v>462</v>
      </c>
      <c r="E11" s="20" t="s">
        <v>23</v>
      </c>
      <c r="F11" s="26">
        <v>577</v>
      </c>
      <c r="G11" s="33" t="s">
        <v>463</v>
      </c>
      <c r="H11" s="21" t="s">
        <v>37</v>
      </c>
    </row>
    <row r="12" spans="1:9" x14ac:dyDescent="0.2">
      <c r="A12" s="24" t="s">
        <v>317</v>
      </c>
      <c r="B12" s="19" t="s">
        <v>74</v>
      </c>
      <c r="C12" s="20" t="s">
        <v>538</v>
      </c>
      <c r="D12" s="26" t="s">
        <v>464</v>
      </c>
      <c r="E12" s="20" t="s">
        <v>23</v>
      </c>
      <c r="F12" s="26">
        <v>572</v>
      </c>
      <c r="G12" s="35" t="s">
        <v>465</v>
      </c>
      <c r="H12" s="21" t="s">
        <v>37</v>
      </c>
    </row>
    <row r="13" spans="1:9" x14ac:dyDescent="0.2">
      <c r="A13" s="24" t="s">
        <v>317</v>
      </c>
      <c r="B13" s="19" t="s">
        <v>77</v>
      </c>
      <c r="C13" s="20" t="s">
        <v>539</v>
      </c>
      <c r="D13" s="26" t="s">
        <v>466</v>
      </c>
      <c r="E13" s="20" t="s">
        <v>23</v>
      </c>
      <c r="F13" s="26">
        <v>2905</v>
      </c>
      <c r="G13" s="35" t="s">
        <v>467</v>
      </c>
      <c r="H13" s="21" t="s">
        <v>37</v>
      </c>
    </row>
    <row r="14" spans="1:9" x14ac:dyDescent="0.2">
      <c r="A14" s="24" t="s">
        <v>317</v>
      </c>
      <c r="B14" s="19" t="s">
        <v>72</v>
      </c>
      <c r="C14" s="20" t="s">
        <v>537</v>
      </c>
      <c r="D14" s="26" t="s">
        <v>468</v>
      </c>
      <c r="E14" s="20" t="s">
        <v>23</v>
      </c>
      <c r="F14" s="26">
        <v>2602</v>
      </c>
      <c r="G14" s="35" t="s">
        <v>469</v>
      </c>
      <c r="H14" s="21" t="s">
        <v>37</v>
      </c>
    </row>
    <row r="15" spans="1:9" x14ac:dyDescent="0.2">
      <c r="A15" s="24" t="s">
        <v>317</v>
      </c>
      <c r="B15" s="19" t="s">
        <v>73</v>
      </c>
      <c r="C15" s="20" t="s">
        <v>470</v>
      </c>
      <c r="D15" s="26" t="s">
        <v>471</v>
      </c>
      <c r="E15" s="20" t="s">
        <v>34</v>
      </c>
      <c r="F15" s="26">
        <v>2607</v>
      </c>
      <c r="G15" s="35" t="s">
        <v>546</v>
      </c>
      <c r="H15" s="21" t="s">
        <v>37</v>
      </c>
    </row>
    <row r="16" spans="1:9" x14ac:dyDescent="0.2">
      <c r="A16" s="24" t="s">
        <v>317</v>
      </c>
      <c r="B16" s="19" t="s">
        <v>261</v>
      </c>
      <c r="C16" s="20" t="s">
        <v>470</v>
      </c>
      <c r="D16" s="26" t="s">
        <v>525</v>
      </c>
      <c r="E16" s="20" t="s">
        <v>34</v>
      </c>
      <c r="F16" s="26">
        <v>1523</v>
      </c>
      <c r="G16" s="35" t="s">
        <v>547</v>
      </c>
      <c r="H16" s="21" t="s">
        <v>37</v>
      </c>
    </row>
    <row r="17" spans="1:8" x14ac:dyDescent="0.2">
      <c r="A17" s="24" t="s">
        <v>317</v>
      </c>
      <c r="B17" s="19" t="s">
        <v>74</v>
      </c>
      <c r="C17" s="20" t="s">
        <v>538</v>
      </c>
      <c r="D17" s="26" t="s">
        <v>528</v>
      </c>
      <c r="E17" s="20" t="s">
        <v>23</v>
      </c>
      <c r="F17" s="26">
        <v>570</v>
      </c>
      <c r="G17" s="35" t="s">
        <v>529</v>
      </c>
      <c r="H17" s="21" t="s">
        <v>37</v>
      </c>
    </row>
    <row r="18" spans="1:8" x14ac:dyDescent="0.2">
      <c r="A18" s="24" t="s">
        <v>317</v>
      </c>
      <c r="B18" s="19" t="s">
        <v>262</v>
      </c>
      <c r="C18" s="20" t="s">
        <v>266</v>
      </c>
      <c r="D18" s="26" t="s">
        <v>526</v>
      </c>
      <c r="E18" s="20" t="s">
        <v>34</v>
      </c>
      <c r="F18" s="26">
        <v>1518</v>
      </c>
      <c r="G18" s="36" t="s">
        <v>548</v>
      </c>
      <c r="H18" s="21" t="s">
        <v>37</v>
      </c>
    </row>
    <row r="19" spans="1:8" x14ac:dyDescent="0.2">
      <c r="C19" s="20"/>
      <c r="E19" s="20"/>
      <c r="G19" s="36"/>
      <c r="H19" s="21"/>
    </row>
    <row r="20" spans="1:8" x14ac:dyDescent="0.2">
      <c r="C20" s="20"/>
      <c r="E20" s="20"/>
      <c r="H20" s="2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_Flags_!$B$2:$B$17</xm:f>
          </x14:formula1>
          <xm:sqref>E2:E20</xm:sqref>
        </x14:dataValidation>
        <x14:dataValidation type="list" allowBlank="1" showInputMessage="1" showErrorMessage="1" xr:uid="{00000000-0002-0000-0100-000001000000}">
          <x14:formula1>
            <xm:f>_Flags_!$C$2:$C$17</xm:f>
          </x14:formula1>
          <xm:sqref>H2:H20</xm:sqref>
        </x14:dataValidation>
        <x14:dataValidation type="list" allowBlank="1" showInputMessage="1" showErrorMessage="1" xr:uid="{00000000-0002-0000-0100-000002000000}">
          <x14:formula1>
            <xm:f>'  _Stations_  '!$A$1:$A$54</xm:f>
          </x14:formula1>
          <xm:sqref>B15:B21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B2:B14</xm:sqref>
        </x14:dataValidation>
        <x14:dataValidation type="list" allowBlank="1" showInputMessage="1" showErrorMessage="1" xr:uid="{00000000-0002-0000-0100-000004000000}">
          <x14:formula1>
            <xm:f>_TargetAssets_!$A$1:$A$19</xm:f>
          </x14:formula1>
          <xm:sqref>C18:C20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36"/>
  <sheetViews>
    <sheetView tabSelected="1" zoomScale="91" workbookViewId="0">
      <selection activeCell="G25" sqref="G25"/>
    </sheetView>
  </sheetViews>
  <sheetFormatPr baseColWidth="10" defaultRowHeight="16" x14ac:dyDescent="0.2"/>
  <cols>
    <col min="1" max="1" width="10.83203125" style="28"/>
    <col min="2" max="2" width="7.5" style="28" bestFit="1" customWidth="1"/>
    <col min="3" max="3" width="20.83203125" style="28" bestFit="1" customWidth="1"/>
    <col min="4" max="4" width="22.33203125" style="28" bestFit="1" customWidth="1"/>
    <col min="5" max="5" width="25.6640625" style="28" bestFit="1" customWidth="1"/>
    <col min="6" max="6" width="26.6640625" style="28" bestFit="1" customWidth="1"/>
    <col min="7" max="7" width="23.33203125" style="28" customWidth="1"/>
    <col min="8" max="8" width="124.5" style="28" bestFit="1" customWidth="1"/>
    <col min="9" max="9" width="9.83203125" style="28" bestFit="1" customWidth="1"/>
    <col min="10" max="10" width="38.33203125" style="28" bestFit="1" customWidth="1"/>
    <col min="11" max="11" width="10.83203125" style="28"/>
    <col min="12" max="16384" width="10.83203125" style="19"/>
  </cols>
  <sheetData>
    <row r="1" spans="1:11" x14ac:dyDescent="0.2">
      <c r="A1" s="27" t="s">
        <v>15</v>
      </c>
      <c r="B1" s="27" t="s">
        <v>159</v>
      </c>
      <c r="C1" s="27" t="s">
        <v>160</v>
      </c>
      <c r="D1" s="27" t="s">
        <v>161</v>
      </c>
      <c r="E1" s="27" t="s">
        <v>162</v>
      </c>
      <c r="F1" s="27" t="s">
        <v>158</v>
      </c>
      <c r="G1" s="27" t="s">
        <v>157</v>
      </c>
      <c r="H1" s="27" t="s">
        <v>156</v>
      </c>
      <c r="I1" s="27" t="s">
        <v>155</v>
      </c>
      <c r="J1" s="27" t="s">
        <v>154</v>
      </c>
      <c r="K1" s="27" t="s">
        <v>0</v>
      </c>
    </row>
    <row r="2" spans="1:11" s="40" customFormat="1" x14ac:dyDescent="0.2">
      <c r="A2" s="27" t="s">
        <v>317</v>
      </c>
      <c r="B2" s="27" t="s">
        <v>399</v>
      </c>
      <c r="C2" s="40">
        <v>44.515205569999999</v>
      </c>
      <c r="D2" s="40">
        <v>-125.39016601</v>
      </c>
      <c r="E2" s="43" t="s">
        <v>571</v>
      </c>
      <c r="F2" s="43" t="s">
        <v>572</v>
      </c>
      <c r="G2" s="40" t="s">
        <v>136</v>
      </c>
      <c r="H2" s="44" t="s">
        <v>568</v>
      </c>
      <c r="I2" s="44">
        <v>2901.9029999999998</v>
      </c>
      <c r="J2" s="27" t="s">
        <v>567</v>
      </c>
      <c r="K2" s="27"/>
    </row>
    <row r="3" spans="1:11" s="40" customFormat="1" x14ac:dyDescent="0.2">
      <c r="A3" s="27" t="s">
        <v>317</v>
      </c>
      <c r="B3" s="27" t="s">
        <v>399</v>
      </c>
      <c r="C3" s="40">
        <v>44.515205569999999</v>
      </c>
      <c r="D3" s="40">
        <v>-125.39016601</v>
      </c>
      <c r="E3" s="43" t="s">
        <v>571</v>
      </c>
      <c r="F3" s="43" t="s">
        <v>572</v>
      </c>
      <c r="G3" s="40" t="s">
        <v>135</v>
      </c>
      <c r="H3" s="44" t="s">
        <v>568</v>
      </c>
      <c r="I3" s="44">
        <v>2901.9029999999998</v>
      </c>
      <c r="J3" s="27" t="s">
        <v>567</v>
      </c>
      <c r="K3" s="27"/>
    </row>
    <row r="4" spans="1:11" s="40" customFormat="1" x14ac:dyDescent="0.2">
      <c r="A4" s="27" t="s">
        <v>317</v>
      </c>
      <c r="B4" s="25" t="s">
        <v>400</v>
      </c>
      <c r="C4" s="40">
        <v>44.63721099</v>
      </c>
      <c r="D4" s="40">
        <v>-124.30574754</v>
      </c>
      <c r="E4" s="40" t="s">
        <v>573</v>
      </c>
      <c r="F4" s="40" t="s">
        <v>574</v>
      </c>
      <c r="G4" s="40" t="s">
        <v>134</v>
      </c>
      <c r="H4" s="27" t="s">
        <v>564</v>
      </c>
      <c r="I4" s="40">
        <v>80.025000000000006</v>
      </c>
      <c r="J4" s="27" t="s">
        <v>565</v>
      </c>
      <c r="K4" s="27"/>
    </row>
    <row r="5" spans="1:11" s="40" customFormat="1" x14ac:dyDescent="0.2">
      <c r="A5" s="27" t="s">
        <v>317</v>
      </c>
      <c r="B5" s="27" t="s">
        <v>400</v>
      </c>
      <c r="C5" s="40">
        <v>44.637210580000001</v>
      </c>
      <c r="D5" s="40">
        <v>-124.30574781</v>
      </c>
      <c r="E5" s="40" t="s">
        <v>575</v>
      </c>
      <c r="F5" s="40" t="s">
        <v>576</v>
      </c>
      <c r="G5" s="40" t="s">
        <v>136</v>
      </c>
      <c r="H5" s="27" t="s">
        <v>564</v>
      </c>
      <c r="I5" s="40">
        <v>80.061999999999998</v>
      </c>
      <c r="J5" s="27" t="s">
        <v>566</v>
      </c>
      <c r="K5" s="27"/>
    </row>
    <row r="6" spans="1:11" s="40" customFormat="1" x14ac:dyDescent="0.2">
      <c r="A6" s="27" t="s">
        <v>317</v>
      </c>
      <c r="B6" s="27" t="s">
        <v>440</v>
      </c>
      <c r="C6" s="40">
        <v>44.569828919999999</v>
      </c>
      <c r="D6" s="40">
        <v>-125.146569</v>
      </c>
      <c r="E6" s="40" t="s">
        <v>577</v>
      </c>
      <c r="F6" s="40" t="s">
        <v>578</v>
      </c>
      <c r="G6" s="40" t="s">
        <v>136</v>
      </c>
      <c r="H6" s="27" t="s">
        <v>562</v>
      </c>
      <c r="I6" s="40">
        <v>771.84400000000005</v>
      </c>
      <c r="J6" s="27" t="s">
        <v>563</v>
      </c>
      <c r="K6" s="27"/>
    </row>
    <row r="7" spans="1:11" s="40" customFormat="1" x14ac:dyDescent="0.2">
      <c r="A7" s="27" t="s">
        <v>317</v>
      </c>
      <c r="B7" s="27" t="s">
        <v>435</v>
      </c>
      <c r="C7" s="40">
        <v>44.369210430000003</v>
      </c>
      <c r="D7" s="40">
        <v>-124.95353537</v>
      </c>
      <c r="E7" s="27" t="s">
        <v>579</v>
      </c>
      <c r="F7" s="27" t="s">
        <v>580</v>
      </c>
      <c r="G7" s="40" t="s">
        <v>134</v>
      </c>
      <c r="H7" s="27" t="s">
        <v>568</v>
      </c>
      <c r="I7" s="40">
        <v>579.52499999999998</v>
      </c>
      <c r="J7" s="27" t="s">
        <v>569</v>
      </c>
      <c r="K7" s="27"/>
    </row>
    <row r="8" spans="1:11" s="40" customFormat="1" x14ac:dyDescent="0.2">
      <c r="A8" s="27" t="s">
        <v>317</v>
      </c>
      <c r="B8" s="27" t="s">
        <v>435</v>
      </c>
      <c r="C8" s="40">
        <v>44.369210430000003</v>
      </c>
      <c r="D8" s="40">
        <v>-124.95353537</v>
      </c>
      <c r="E8" s="27" t="s">
        <v>579</v>
      </c>
      <c r="F8" s="27" t="s">
        <v>580</v>
      </c>
      <c r="G8" s="40" t="s">
        <v>136</v>
      </c>
      <c r="H8" s="27" t="s">
        <v>568</v>
      </c>
      <c r="I8" s="40">
        <v>579.52499999999998</v>
      </c>
      <c r="J8" s="27" t="s">
        <v>569</v>
      </c>
      <c r="K8" s="27"/>
    </row>
    <row r="9" spans="1:11" s="40" customFormat="1" x14ac:dyDescent="0.2">
      <c r="A9" s="27" t="s">
        <v>317</v>
      </c>
      <c r="B9" s="27" t="s">
        <v>460</v>
      </c>
      <c r="C9" s="40">
        <v>45.93343702</v>
      </c>
      <c r="D9" s="40">
        <v>-130.0141587</v>
      </c>
      <c r="E9" s="40" t="s">
        <v>581</v>
      </c>
      <c r="F9" s="40" t="s">
        <v>582</v>
      </c>
      <c r="G9" s="40" t="s">
        <v>137</v>
      </c>
      <c r="H9" s="27" t="s">
        <v>560</v>
      </c>
      <c r="I9" s="40">
        <v>1539.5809999999999</v>
      </c>
      <c r="J9" s="27" t="s">
        <v>561</v>
      </c>
      <c r="K9" s="27"/>
    </row>
    <row r="10" spans="1:11" s="40" customFormat="1" x14ac:dyDescent="0.2">
      <c r="A10" s="27" t="s">
        <v>317</v>
      </c>
      <c r="B10" s="27" t="s">
        <v>471</v>
      </c>
      <c r="C10" s="40">
        <v>45.816784310000003</v>
      </c>
      <c r="D10" s="27">
        <v>-129.75400160000001</v>
      </c>
      <c r="E10" s="40" t="s">
        <v>583</v>
      </c>
      <c r="F10" s="40" t="s">
        <v>584</v>
      </c>
      <c r="G10" s="40" t="s">
        <v>136</v>
      </c>
      <c r="H10" s="27" t="s">
        <v>558</v>
      </c>
      <c r="I10" s="40">
        <v>2607.1729999999998</v>
      </c>
      <c r="J10" s="27" t="s">
        <v>559</v>
      </c>
      <c r="K10" s="27"/>
    </row>
    <row r="11" spans="1:11" s="40" customFormat="1" x14ac:dyDescent="0.2">
      <c r="A11" s="27" t="s">
        <v>317</v>
      </c>
      <c r="B11" s="27" t="s">
        <v>471</v>
      </c>
      <c r="C11" s="40">
        <v>45.816784310000003</v>
      </c>
      <c r="D11" s="27">
        <v>-129.75400160000001</v>
      </c>
      <c r="E11" s="40" t="s">
        <v>583</v>
      </c>
      <c r="F11" s="40" t="s">
        <v>584</v>
      </c>
      <c r="G11" s="40" t="s">
        <v>134</v>
      </c>
      <c r="H11" s="27" t="s">
        <v>558</v>
      </c>
      <c r="I11" s="40">
        <v>2607.1729999999998</v>
      </c>
      <c r="J11" s="27" t="s">
        <v>559</v>
      </c>
      <c r="K11" s="27"/>
    </row>
    <row r="12" spans="1:11" s="40" customFormat="1" x14ac:dyDescent="0.2">
      <c r="A12" s="27" t="s">
        <v>317</v>
      </c>
      <c r="B12" s="27" t="s">
        <v>525</v>
      </c>
      <c r="C12" s="40">
        <v>45.954667440000001</v>
      </c>
      <c r="D12" s="40">
        <v>-130.00880325</v>
      </c>
      <c r="E12" s="40" t="s">
        <v>585</v>
      </c>
      <c r="F12" s="40" t="s">
        <v>586</v>
      </c>
      <c r="G12" s="40" t="s">
        <v>137</v>
      </c>
      <c r="H12" s="27" t="s">
        <v>557</v>
      </c>
      <c r="I12" s="40">
        <v>1522.9290000000001</v>
      </c>
      <c r="J12" s="27" t="s">
        <v>570</v>
      </c>
      <c r="K12" s="27"/>
    </row>
    <row r="13" spans="1:11" s="40" customFormat="1" x14ac:dyDescent="0.2">
      <c r="A13" s="27" t="s">
        <v>317</v>
      </c>
      <c r="B13" s="27" t="s">
        <v>526</v>
      </c>
      <c r="C13" s="40">
        <v>45.939870599999999</v>
      </c>
      <c r="D13" s="40">
        <v>-129.97400967999999</v>
      </c>
      <c r="E13" s="40" t="s">
        <v>587</v>
      </c>
      <c r="F13" s="40" t="s">
        <v>588</v>
      </c>
      <c r="G13" s="40" t="s">
        <v>134</v>
      </c>
      <c r="H13" s="27" t="s">
        <v>555</v>
      </c>
      <c r="I13" s="41">
        <v>1513.7059999999999</v>
      </c>
      <c r="J13" s="27" t="s">
        <v>556</v>
      </c>
      <c r="K13" s="27"/>
    </row>
    <row r="14" spans="1:11" x14ac:dyDescent="0.2">
      <c r="G14" s="19"/>
      <c r="I14" s="19"/>
    </row>
    <row r="15" spans="1:11" x14ac:dyDescent="0.2">
      <c r="G15" s="19"/>
      <c r="I15" s="19"/>
    </row>
    <row r="16" spans="1:11" x14ac:dyDescent="0.2">
      <c r="G16" s="19"/>
      <c r="I16" s="19"/>
    </row>
    <row r="17" spans="6:9" x14ac:dyDescent="0.2">
      <c r="G17" s="19"/>
      <c r="I17" s="19"/>
    </row>
    <row r="18" spans="6:9" x14ac:dyDescent="0.2">
      <c r="G18" s="19"/>
      <c r="I18" s="19"/>
    </row>
    <row r="31" spans="6:9" x14ac:dyDescent="0.2">
      <c r="F31" s="42"/>
    </row>
    <row r="32" spans="6:9" x14ac:dyDescent="0.2">
      <c r="F32" s="42"/>
    </row>
    <row r="33" spans="6:6" x14ac:dyDescent="0.2">
      <c r="F33" s="42"/>
    </row>
    <row r="34" spans="6:6" x14ac:dyDescent="0.2">
      <c r="F34" s="42"/>
    </row>
    <row r="35" spans="6:6" x14ac:dyDescent="0.2">
      <c r="F35" s="42"/>
    </row>
    <row r="36" spans="6:6" x14ac:dyDescent="0.2">
      <c r="F36" s="4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G2:G18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152"/>
  <sheetViews>
    <sheetView workbookViewId="0">
      <pane ySplit="1" topLeftCell="A2" activePane="bottomLeft" state="frozen"/>
      <selection pane="bottomLeft" activeCell="A28" sqref="A28:XFD30"/>
    </sheetView>
  </sheetViews>
  <sheetFormatPr baseColWidth="10" defaultRowHeight="16" x14ac:dyDescent="0.2"/>
  <cols>
    <col min="1" max="1" width="8" style="19" bestFit="1" customWidth="1"/>
    <col min="2" max="2" width="19.1640625" style="19" bestFit="1" customWidth="1"/>
    <col min="3" max="3" width="17" style="19" customWidth="1"/>
    <col min="4" max="4" width="11.83203125" style="28" customWidth="1"/>
    <col min="5" max="5" width="20" style="28" customWidth="1"/>
    <col min="6" max="6" width="41" style="19" customWidth="1"/>
    <col min="7" max="7" width="31.33203125" style="19" customWidth="1"/>
    <col min="8" max="8" width="16.6640625" style="28" customWidth="1"/>
    <col min="9" max="9" width="41" style="19" customWidth="1"/>
    <col min="10" max="10" width="23.5" style="19" customWidth="1"/>
    <col min="11" max="11" width="24.83203125" style="28" customWidth="1"/>
    <col min="12" max="12" width="20" style="19" customWidth="1"/>
    <col min="13" max="13" width="28.5" style="19" customWidth="1"/>
    <col min="14" max="14" width="19" style="28" customWidth="1"/>
    <col min="15" max="15" width="16.83203125" style="19" customWidth="1"/>
    <col min="16" max="16" width="25.1640625" style="19" customWidth="1"/>
    <col min="17" max="17" width="21.5" style="28" customWidth="1"/>
    <col min="18" max="18" width="14.5" style="19" customWidth="1"/>
    <col min="19" max="19" width="23" style="19" customWidth="1"/>
    <col min="20" max="20" width="20.83203125" style="28" customWidth="1"/>
    <col min="21" max="21" width="41" style="19" customWidth="1"/>
    <col min="22" max="22" width="28.6640625" style="19" customWidth="1"/>
    <col min="23" max="23" width="20" style="28" customWidth="1"/>
    <col min="24" max="24" width="41" style="19" customWidth="1"/>
    <col min="25" max="25" width="27" style="19" customWidth="1"/>
    <col min="26" max="26" width="23.1640625" style="32" bestFit="1" customWidth="1"/>
    <col min="27" max="27" width="52.1640625" style="19" customWidth="1"/>
    <col min="28" max="28" width="31.83203125" style="19" customWidth="1"/>
    <col min="29" max="29" width="83.6640625" style="28" bestFit="1" customWidth="1"/>
    <col min="30" max="16384" width="10.83203125" style="19"/>
  </cols>
  <sheetData>
    <row r="1" spans="1:29" x14ac:dyDescent="0.2">
      <c r="A1" s="17" t="s">
        <v>14</v>
      </c>
      <c r="B1" s="17" t="s">
        <v>70</v>
      </c>
      <c r="C1" s="17" t="s">
        <v>19</v>
      </c>
      <c r="D1" s="27" t="s">
        <v>89</v>
      </c>
      <c r="E1" s="27" t="s">
        <v>114</v>
      </c>
      <c r="F1" s="17" t="s">
        <v>104</v>
      </c>
      <c r="G1" s="17" t="s">
        <v>105</v>
      </c>
      <c r="H1" s="27" t="s">
        <v>118</v>
      </c>
      <c r="I1" s="17" t="s">
        <v>112</v>
      </c>
      <c r="J1" s="17" t="s">
        <v>113</v>
      </c>
      <c r="K1" s="27" t="s">
        <v>169</v>
      </c>
      <c r="L1" s="17" t="s">
        <v>163</v>
      </c>
      <c r="M1" s="17" t="s">
        <v>164</v>
      </c>
      <c r="N1" s="27" t="s">
        <v>170</v>
      </c>
      <c r="O1" s="17" t="s">
        <v>165</v>
      </c>
      <c r="P1" s="17" t="s">
        <v>166</v>
      </c>
      <c r="Q1" s="27" t="s">
        <v>171</v>
      </c>
      <c r="R1" s="17" t="s">
        <v>167</v>
      </c>
      <c r="S1" s="17" t="s">
        <v>168</v>
      </c>
      <c r="T1" s="27" t="s">
        <v>117</v>
      </c>
      <c r="U1" s="17" t="s">
        <v>108</v>
      </c>
      <c r="V1" s="17" t="s">
        <v>109</v>
      </c>
      <c r="W1" s="27" t="s">
        <v>116</v>
      </c>
      <c r="X1" s="17" t="s">
        <v>110</v>
      </c>
      <c r="Y1" s="17" t="s">
        <v>111</v>
      </c>
      <c r="Z1" s="29" t="s">
        <v>115</v>
      </c>
      <c r="AA1" s="17" t="s">
        <v>106</v>
      </c>
      <c r="AB1" s="17" t="s">
        <v>107</v>
      </c>
      <c r="AC1" s="27" t="s">
        <v>0</v>
      </c>
    </row>
    <row r="2" spans="1:29" x14ac:dyDescent="0.2">
      <c r="A2" s="19" t="s">
        <v>318</v>
      </c>
      <c r="B2" s="19">
        <v>1</v>
      </c>
      <c r="C2" s="20" t="s">
        <v>50</v>
      </c>
      <c r="D2" s="28">
        <v>220</v>
      </c>
      <c r="E2" t="s">
        <v>237</v>
      </c>
      <c r="F2" s="19" t="s">
        <v>57</v>
      </c>
      <c r="G2" s="20" t="s">
        <v>61</v>
      </c>
      <c r="H2" t="s">
        <v>320</v>
      </c>
      <c r="I2" s="19" t="s">
        <v>57</v>
      </c>
      <c r="J2" s="20" t="s">
        <v>61</v>
      </c>
      <c r="P2" s="20"/>
      <c r="T2" t="s">
        <v>321</v>
      </c>
      <c r="U2" s="19" t="s">
        <v>57</v>
      </c>
      <c r="V2" s="20" t="s">
        <v>61</v>
      </c>
      <c r="W2"/>
      <c r="Y2" s="20"/>
      <c r="Z2"/>
      <c r="AB2" s="20"/>
    </row>
    <row r="3" spans="1:29" x14ac:dyDescent="0.2">
      <c r="A3" s="19" t="s">
        <v>318</v>
      </c>
      <c r="B3" s="19">
        <v>3</v>
      </c>
      <c r="C3" s="20" t="s">
        <v>50</v>
      </c>
      <c r="D3" s="28">
        <v>200</v>
      </c>
      <c r="E3" t="s">
        <v>238</v>
      </c>
      <c r="F3" s="19" t="s">
        <v>57</v>
      </c>
      <c r="G3" s="20" t="s">
        <v>61</v>
      </c>
      <c r="H3" t="s">
        <v>322</v>
      </c>
      <c r="I3" s="19" t="s">
        <v>57</v>
      </c>
      <c r="J3" s="20" t="s">
        <v>61</v>
      </c>
      <c r="P3" s="20"/>
      <c r="T3" t="s">
        <v>323</v>
      </c>
      <c r="U3" s="19" t="s">
        <v>57</v>
      </c>
      <c r="V3" s="20" t="s">
        <v>61</v>
      </c>
      <c r="Y3" s="20"/>
      <c r="Z3" s="30"/>
      <c r="AB3" s="20"/>
    </row>
    <row r="4" spans="1:29" x14ac:dyDescent="0.2">
      <c r="A4" s="19" t="s">
        <v>318</v>
      </c>
      <c r="B4" s="19">
        <v>5</v>
      </c>
      <c r="C4" s="20" t="s">
        <v>50</v>
      </c>
      <c r="D4" s="28">
        <v>180</v>
      </c>
      <c r="E4" t="s">
        <v>239</v>
      </c>
      <c r="F4" s="19" t="s">
        <v>57</v>
      </c>
      <c r="G4" s="20" t="s">
        <v>61</v>
      </c>
      <c r="H4" t="s">
        <v>324</v>
      </c>
      <c r="I4" s="19" t="s">
        <v>57</v>
      </c>
      <c r="J4" s="20" t="s">
        <v>61</v>
      </c>
      <c r="P4" s="20"/>
      <c r="T4" t="s">
        <v>325</v>
      </c>
      <c r="U4" s="19" t="s">
        <v>57</v>
      </c>
      <c r="V4" s="20" t="s">
        <v>61</v>
      </c>
      <c r="W4" t="s">
        <v>326</v>
      </c>
      <c r="X4" t="s">
        <v>57</v>
      </c>
      <c r="Y4" s="20" t="s">
        <v>61</v>
      </c>
      <c r="Z4" t="s">
        <v>327</v>
      </c>
      <c r="AA4" s="19" t="s">
        <v>57</v>
      </c>
      <c r="AB4" s="20" t="s">
        <v>61</v>
      </c>
    </row>
    <row r="5" spans="1:29" x14ac:dyDescent="0.2">
      <c r="A5" s="19" t="s">
        <v>318</v>
      </c>
      <c r="B5" s="19">
        <v>7</v>
      </c>
      <c r="C5" s="20" t="s">
        <v>50</v>
      </c>
      <c r="D5" s="28">
        <v>160</v>
      </c>
      <c r="E5" t="s">
        <v>240</v>
      </c>
      <c r="F5" s="19" t="s">
        <v>57</v>
      </c>
      <c r="G5" s="20" t="s">
        <v>61</v>
      </c>
      <c r="H5" t="s">
        <v>328</v>
      </c>
      <c r="I5" s="19" t="s">
        <v>57</v>
      </c>
      <c r="J5" s="20" t="s">
        <v>61</v>
      </c>
      <c r="P5" s="20"/>
      <c r="T5" t="s">
        <v>337</v>
      </c>
      <c r="U5" s="19" t="s">
        <v>57</v>
      </c>
      <c r="V5" s="20" t="s">
        <v>61</v>
      </c>
      <c r="W5"/>
      <c r="Y5" s="20"/>
      <c r="Z5" t="s">
        <v>349</v>
      </c>
      <c r="AA5" s="19" t="s">
        <v>57</v>
      </c>
      <c r="AB5" s="20" t="s">
        <v>61</v>
      </c>
    </row>
    <row r="6" spans="1:29" x14ac:dyDescent="0.2">
      <c r="A6" s="19" t="s">
        <v>318</v>
      </c>
      <c r="B6" s="19">
        <v>9</v>
      </c>
      <c r="C6" s="20" t="s">
        <v>50</v>
      </c>
      <c r="D6" s="28">
        <v>140</v>
      </c>
      <c r="E6" t="s">
        <v>241</v>
      </c>
      <c r="F6" s="19" t="s">
        <v>57</v>
      </c>
      <c r="G6" s="20" t="s">
        <v>61</v>
      </c>
      <c r="H6" t="s">
        <v>329</v>
      </c>
      <c r="I6" s="19" t="s">
        <v>57</v>
      </c>
      <c r="J6" s="20" t="s">
        <v>61</v>
      </c>
      <c r="P6" s="20"/>
      <c r="T6" t="s">
        <v>338</v>
      </c>
      <c r="U6" s="19" t="s">
        <v>57</v>
      </c>
      <c r="V6" s="20" t="s">
        <v>61</v>
      </c>
      <c r="W6" t="s">
        <v>346</v>
      </c>
      <c r="X6" s="19" t="s">
        <v>57</v>
      </c>
      <c r="Y6" s="20" t="s">
        <v>61</v>
      </c>
      <c r="Z6" t="s">
        <v>350</v>
      </c>
      <c r="AA6" s="19" t="s">
        <v>57</v>
      </c>
      <c r="AB6" s="20" t="s">
        <v>61</v>
      </c>
    </row>
    <row r="7" spans="1:29" x14ac:dyDescent="0.2">
      <c r="A7" s="19" t="s">
        <v>318</v>
      </c>
      <c r="B7" s="19">
        <v>11</v>
      </c>
      <c r="C7" s="20" t="s">
        <v>50</v>
      </c>
      <c r="D7" s="28">
        <v>120</v>
      </c>
      <c r="E7" t="s">
        <v>242</v>
      </c>
      <c r="F7" s="19" t="s">
        <v>57</v>
      </c>
      <c r="G7" s="20" t="s">
        <v>61</v>
      </c>
      <c r="H7" t="s">
        <v>330</v>
      </c>
      <c r="I7" s="19" t="s">
        <v>57</v>
      </c>
      <c r="J7" s="20" t="s">
        <v>61</v>
      </c>
      <c r="P7" s="20"/>
      <c r="T7" t="s">
        <v>339</v>
      </c>
      <c r="U7" s="19" t="s">
        <v>57</v>
      </c>
      <c r="V7" s="20" t="s">
        <v>61</v>
      </c>
      <c r="W7"/>
      <c r="Y7" s="20"/>
      <c r="Z7"/>
      <c r="AB7" s="20"/>
    </row>
    <row r="8" spans="1:29" x14ac:dyDescent="0.2">
      <c r="A8" s="19" t="s">
        <v>318</v>
      </c>
      <c r="B8" s="19">
        <v>13</v>
      </c>
      <c r="C8" s="20" t="s">
        <v>50</v>
      </c>
      <c r="D8" s="28">
        <v>100</v>
      </c>
      <c r="E8" t="s">
        <v>243</v>
      </c>
      <c r="F8" s="19" t="s">
        <v>57</v>
      </c>
      <c r="G8" s="20" t="s">
        <v>61</v>
      </c>
      <c r="H8" t="s">
        <v>331</v>
      </c>
      <c r="I8" s="19" t="s">
        <v>57</v>
      </c>
      <c r="J8" s="20" t="s">
        <v>61</v>
      </c>
      <c r="P8" s="20"/>
      <c r="T8" t="s">
        <v>340</v>
      </c>
      <c r="U8" s="19" t="s">
        <v>57</v>
      </c>
      <c r="V8" s="20" t="s">
        <v>61</v>
      </c>
      <c r="W8" t="s">
        <v>347</v>
      </c>
      <c r="X8" s="19" t="s">
        <v>57</v>
      </c>
      <c r="Y8" s="20" t="s">
        <v>61</v>
      </c>
      <c r="Z8" t="s">
        <v>351</v>
      </c>
      <c r="AA8" s="19" t="s">
        <v>57</v>
      </c>
      <c r="AB8" s="20" t="s">
        <v>61</v>
      </c>
    </row>
    <row r="9" spans="1:29" x14ac:dyDescent="0.2">
      <c r="A9" s="19" t="s">
        <v>318</v>
      </c>
      <c r="B9" s="19">
        <v>15</v>
      </c>
      <c r="C9" s="20" t="s">
        <v>50</v>
      </c>
      <c r="D9" s="28">
        <v>80</v>
      </c>
      <c r="E9" t="s">
        <v>244</v>
      </c>
      <c r="F9" s="19" t="s">
        <v>57</v>
      </c>
      <c r="G9" s="20" t="s">
        <v>61</v>
      </c>
      <c r="H9" t="s">
        <v>332</v>
      </c>
      <c r="I9" s="19" t="s">
        <v>57</v>
      </c>
      <c r="J9" s="20" t="s">
        <v>61</v>
      </c>
      <c r="P9" s="20"/>
      <c r="T9" t="s">
        <v>341</v>
      </c>
      <c r="U9" s="19" t="s">
        <v>57</v>
      </c>
      <c r="V9" s="20" t="s">
        <v>61</v>
      </c>
      <c r="W9"/>
      <c r="Y9" s="20"/>
      <c r="Z9" t="s">
        <v>352</v>
      </c>
      <c r="AA9" s="19" t="s">
        <v>57</v>
      </c>
      <c r="AB9" s="20" t="s">
        <v>61</v>
      </c>
    </row>
    <row r="10" spans="1:29" x14ac:dyDescent="0.2">
      <c r="A10" s="19" t="s">
        <v>318</v>
      </c>
      <c r="B10" s="19">
        <v>17</v>
      </c>
      <c r="C10" s="20" t="s">
        <v>50</v>
      </c>
      <c r="D10" s="28">
        <v>60</v>
      </c>
      <c r="E10" t="s">
        <v>245</v>
      </c>
      <c r="F10" s="19" t="s">
        <v>57</v>
      </c>
      <c r="G10" s="20" t="s">
        <v>61</v>
      </c>
      <c r="H10" t="s">
        <v>333</v>
      </c>
      <c r="I10" s="19" t="s">
        <v>57</v>
      </c>
      <c r="J10" s="20" t="s">
        <v>61</v>
      </c>
      <c r="P10" s="20"/>
      <c r="T10" t="s">
        <v>342</v>
      </c>
      <c r="U10" s="19" t="s">
        <v>57</v>
      </c>
      <c r="V10" s="20" t="s">
        <v>61</v>
      </c>
      <c r="W10"/>
      <c r="Y10" s="20"/>
      <c r="Z10"/>
      <c r="AB10" s="20"/>
    </row>
    <row r="11" spans="1:29" x14ac:dyDescent="0.2">
      <c r="A11" s="19" t="s">
        <v>318</v>
      </c>
      <c r="B11" s="19">
        <v>19</v>
      </c>
      <c r="C11" s="20" t="s">
        <v>50</v>
      </c>
      <c r="D11" s="28">
        <v>40</v>
      </c>
      <c r="E11" t="s">
        <v>246</v>
      </c>
      <c r="F11" s="19" t="s">
        <v>57</v>
      </c>
      <c r="G11" s="20" t="s">
        <v>61</v>
      </c>
      <c r="H11" t="s">
        <v>334</v>
      </c>
      <c r="I11" s="19" t="s">
        <v>57</v>
      </c>
      <c r="J11" s="20" t="s">
        <v>61</v>
      </c>
      <c r="P11" s="20"/>
      <c r="T11" t="s">
        <v>343</v>
      </c>
      <c r="U11" s="19" t="s">
        <v>57</v>
      </c>
      <c r="V11" s="20" t="s">
        <v>61</v>
      </c>
      <c r="W11" t="s">
        <v>348</v>
      </c>
      <c r="X11" s="19" t="s">
        <v>57</v>
      </c>
      <c r="Y11" s="20" t="s">
        <v>61</v>
      </c>
      <c r="Z11" t="s">
        <v>353</v>
      </c>
      <c r="AA11" s="19" t="s">
        <v>57</v>
      </c>
      <c r="AB11" s="20" t="s">
        <v>61</v>
      </c>
    </row>
    <row r="12" spans="1:29" x14ac:dyDescent="0.2">
      <c r="A12" s="19" t="s">
        <v>318</v>
      </c>
      <c r="B12" s="19">
        <v>21</v>
      </c>
      <c r="C12" s="20" t="s">
        <v>50</v>
      </c>
      <c r="D12" s="28">
        <v>20</v>
      </c>
      <c r="E12" t="s">
        <v>247</v>
      </c>
      <c r="F12" s="19" t="s">
        <v>57</v>
      </c>
      <c r="G12" s="20" t="s">
        <v>62</v>
      </c>
      <c r="H12" t="s">
        <v>335</v>
      </c>
      <c r="I12" s="19" t="s">
        <v>57</v>
      </c>
      <c r="J12" s="20" t="s">
        <v>61</v>
      </c>
      <c r="P12" s="20"/>
      <c r="T12" t="s">
        <v>344</v>
      </c>
      <c r="U12" s="19" t="s">
        <v>57</v>
      </c>
      <c r="V12" s="20" t="s">
        <v>61</v>
      </c>
      <c r="W12"/>
      <c r="Y12" s="20"/>
      <c r="Z12" t="s">
        <v>354</v>
      </c>
      <c r="AA12" s="19" t="s">
        <v>57</v>
      </c>
      <c r="AB12" s="20" t="s">
        <v>61</v>
      </c>
    </row>
    <row r="13" spans="1:29" x14ac:dyDescent="0.2">
      <c r="A13" s="19" t="s">
        <v>318</v>
      </c>
      <c r="B13" s="19">
        <v>21</v>
      </c>
      <c r="C13" s="20" t="s">
        <v>50</v>
      </c>
      <c r="D13" s="28">
        <v>20</v>
      </c>
      <c r="E13" t="s">
        <v>248</v>
      </c>
      <c r="F13" s="19" t="s">
        <v>57</v>
      </c>
      <c r="G13" s="20" t="s">
        <v>62</v>
      </c>
      <c r="H13"/>
      <c r="J13" s="20"/>
      <c r="P13" s="20"/>
      <c r="T13"/>
      <c r="V13" s="20"/>
      <c r="W13"/>
      <c r="Y13" s="20"/>
      <c r="Z13"/>
      <c r="AB13" s="20"/>
    </row>
    <row r="14" spans="1:29" x14ac:dyDescent="0.2">
      <c r="A14" s="19" t="s">
        <v>318</v>
      </c>
      <c r="B14" s="19">
        <v>23</v>
      </c>
      <c r="C14" s="20" t="s">
        <v>50</v>
      </c>
      <c r="D14" s="28">
        <v>10</v>
      </c>
      <c r="E14" t="s">
        <v>249</v>
      </c>
      <c r="F14" s="19" t="s">
        <v>57</v>
      </c>
      <c r="G14" s="20" t="s">
        <v>61</v>
      </c>
      <c r="H14" t="s">
        <v>336</v>
      </c>
      <c r="I14" s="19" t="s">
        <v>57</v>
      </c>
      <c r="J14" s="20" t="s">
        <v>61</v>
      </c>
      <c r="P14" s="20"/>
      <c r="T14" t="s">
        <v>345</v>
      </c>
      <c r="U14" s="19" t="s">
        <v>57</v>
      </c>
      <c r="V14" s="20" t="s">
        <v>61</v>
      </c>
      <c r="W14" t="s">
        <v>395</v>
      </c>
      <c r="X14" s="19" t="s">
        <v>57</v>
      </c>
      <c r="Y14" s="20" t="s">
        <v>61</v>
      </c>
      <c r="Z14" t="s">
        <v>355</v>
      </c>
      <c r="AA14" s="19" t="s">
        <v>57</v>
      </c>
      <c r="AB14" s="20" t="s">
        <v>61</v>
      </c>
    </row>
    <row r="15" spans="1:29" x14ac:dyDescent="0.2">
      <c r="A15" t="s">
        <v>356</v>
      </c>
      <c r="B15">
        <v>7</v>
      </c>
      <c r="C15" s="20" t="s">
        <v>50</v>
      </c>
      <c r="D15" s="28">
        <v>220</v>
      </c>
      <c r="E15" t="s">
        <v>237</v>
      </c>
      <c r="F15" s="19" t="s">
        <v>57</v>
      </c>
      <c r="G15" s="20" t="s">
        <v>61</v>
      </c>
      <c r="H15" t="s">
        <v>358</v>
      </c>
      <c r="I15" s="19" t="s">
        <v>57</v>
      </c>
      <c r="J15" s="20" t="s">
        <v>61</v>
      </c>
      <c r="P15" s="20"/>
      <c r="T15" t="s">
        <v>370</v>
      </c>
      <c r="U15" s="19" t="s">
        <v>57</v>
      </c>
      <c r="V15" s="20" t="s">
        <v>61</v>
      </c>
      <c r="W15" t="s">
        <v>382</v>
      </c>
      <c r="X15" s="19" t="s">
        <v>57</v>
      </c>
      <c r="Y15" s="20" t="s">
        <v>61</v>
      </c>
      <c r="Z15"/>
      <c r="AB15" s="20"/>
    </row>
    <row r="16" spans="1:29" x14ac:dyDescent="0.2">
      <c r="A16" t="s">
        <v>356</v>
      </c>
      <c r="B16">
        <v>8</v>
      </c>
      <c r="C16" s="20" t="s">
        <v>50</v>
      </c>
      <c r="D16" s="28">
        <v>200</v>
      </c>
      <c r="E16" t="s">
        <v>238</v>
      </c>
      <c r="F16" s="19" t="s">
        <v>57</v>
      </c>
      <c r="G16" s="20" t="s">
        <v>61</v>
      </c>
      <c r="H16" t="s">
        <v>359</v>
      </c>
      <c r="I16" s="19" t="s">
        <v>57</v>
      </c>
      <c r="J16" s="20" t="s">
        <v>61</v>
      </c>
      <c r="P16" s="20"/>
      <c r="T16" t="s">
        <v>371</v>
      </c>
      <c r="U16" s="19" t="s">
        <v>57</v>
      </c>
      <c r="V16" s="20" t="s">
        <v>61</v>
      </c>
      <c r="W16"/>
      <c r="Y16" s="20"/>
      <c r="Z16"/>
      <c r="AB16" s="20"/>
    </row>
    <row r="17" spans="1:28" x14ac:dyDescent="0.2">
      <c r="A17" t="s">
        <v>356</v>
      </c>
      <c r="B17">
        <v>10</v>
      </c>
      <c r="C17" s="20" t="s">
        <v>50</v>
      </c>
      <c r="D17" s="28">
        <v>180</v>
      </c>
      <c r="E17" t="s">
        <v>239</v>
      </c>
      <c r="F17" s="19" t="s">
        <v>57</v>
      </c>
      <c r="G17" s="20" t="s">
        <v>61</v>
      </c>
      <c r="H17" t="s">
        <v>360</v>
      </c>
      <c r="I17" s="19" t="s">
        <v>57</v>
      </c>
      <c r="J17" s="20" t="s">
        <v>61</v>
      </c>
      <c r="P17" s="20"/>
      <c r="T17" t="s">
        <v>372</v>
      </c>
      <c r="U17" s="19" t="s">
        <v>57</v>
      </c>
      <c r="V17" s="20" t="s">
        <v>61</v>
      </c>
      <c r="W17"/>
      <c r="Y17" s="20"/>
      <c r="Z17" t="s">
        <v>387</v>
      </c>
      <c r="AA17" s="19" t="s">
        <v>57</v>
      </c>
      <c r="AB17" s="20" t="s">
        <v>61</v>
      </c>
    </row>
    <row r="18" spans="1:28" x14ac:dyDescent="0.2">
      <c r="A18" t="s">
        <v>356</v>
      </c>
      <c r="B18">
        <v>11</v>
      </c>
      <c r="C18" s="20" t="s">
        <v>50</v>
      </c>
      <c r="D18" s="28">
        <v>160</v>
      </c>
      <c r="E18" t="s">
        <v>240</v>
      </c>
      <c r="F18" s="19" t="s">
        <v>57</v>
      </c>
      <c r="G18" s="20" t="s">
        <v>61</v>
      </c>
      <c r="H18" t="s">
        <v>361</v>
      </c>
      <c r="I18" s="19" t="s">
        <v>57</v>
      </c>
      <c r="J18" s="20" t="s">
        <v>61</v>
      </c>
      <c r="P18" s="20"/>
      <c r="T18" t="s">
        <v>373</v>
      </c>
      <c r="U18" s="19" t="s">
        <v>57</v>
      </c>
      <c r="V18" s="20" t="s">
        <v>61</v>
      </c>
      <c r="W18" t="s">
        <v>383</v>
      </c>
      <c r="X18" s="19" t="s">
        <v>57</v>
      </c>
      <c r="Y18" s="20" t="s">
        <v>61</v>
      </c>
      <c r="Z18" t="s">
        <v>388</v>
      </c>
      <c r="AA18" s="19" t="s">
        <v>57</v>
      </c>
      <c r="AB18" s="20" t="s">
        <v>61</v>
      </c>
    </row>
    <row r="19" spans="1:28" x14ac:dyDescent="0.2">
      <c r="A19" t="s">
        <v>356</v>
      </c>
      <c r="B19">
        <v>13</v>
      </c>
      <c r="C19" s="20" t="s">
        <v>50</v>
      </c>
      <c r="D19" s="28">
        <v>140</v>
      </c>
      <c r="E19" t="s">
        <v>241</v>
      </c>
      <c r="F19" s="19" t="s">
        <v>57</v>
      </c>
      <c r="G19" s="20" t="s">
        <v>61</v>
      </c>
      <c r="H19" t="s">
        <v>362</v>
      </c>
      <c r="I19" s="19" t="s">
        <v>57</v>
      </c>
      <c r="J19" s="20" t="s">
        <v>61</v>
      </c>
      <c r="P19" s="20"/>
      <c r="T19" t="s">
        <v>374</v>
      </c>
      <c r="U19" s="19" t="s">
        <v>57</v>
      </c>
      <c r="V19" s="20" t="s">
        <v>61</v>
      </c>
      <c r="W19"/>
      <c r="Y19" s="20"/>
      <c r="Z19" t="s">
        <v>389</v>
      </c>
      <c r="AA19" s="19" t="s">
        <v>57</v>
      </c>
      <c r="AB19" s="20" t="s">
        <v>61</v>
      </c>
    </row>
    <row r="20" spans="1:28" x14ac:dyDescent="0.2">
      <c r="A20" t="s">
        <v>356</v>
      </c>
      <c r="B20">
        <v>14</v>
      </c>
      <c r="C20" s="20" t="s">
        <v>50</v>
      </c>
      <c r="D20" s="28">
        <v>120</v>
      </c>
      <c r="E20" t="s">
        <v>242</v>
      </c>
      <c r="F20" s="19" t="s">
        <v>57</v>
      </c>
      <c r="G20" s="20" t="s">
        <v>61</v>
      </c>
      <c r="H20" t="s">
        <v>363</v>
      </c>
      <c r="I20" s="19" t="s">
        <v>57</v>
      </c>
      <c r="J20" s="20" t="s">
        <v>61</v>
      </c>
      <c r="P20" s="20"/>
      <c r="T20" t="s">
        <v>375</v>
      </c>
      <c r="U20" s="19" t="s">
        <v>57</v>
      </c>
      <c r="V20" s="20" t="s">
        <v>61</v>
      </c>
      <c r="W20"/>
      <c r="Y20" s="20"/>
      <c r="Z20"/>
      <c r="AB20" s="20"/>
    </row>
    <row r="21" spans="1:28" x14ac:dyDescent="0.2">
      <c r="A21" t="s">
        <v>356</v>
      </c>
      <c r="B21">
        <v>15</v>
      </c>
      <c r="C21" s="20" t="s">
        <v>50</v>
      </c>
      <c r="D21" s="28">
        <v>100</v>
      </c>
      <c r="E21" t="s">
        <v>243</v>
      </c>
      <c r="F21" s="19" t="s">
        <v>57</v>
      </c>
      <c r="G21" s="20" t="s">
        <v>61</v>
      </c>
      <c r="H21" t="s">
        <v>364</v>
      </c>
      <c r="I21" s="19" t="s">
        <v>57</v>
      </c>
      <c r="J21" s="20" t="s">
        <v>61</v>
      </c>
      <c r="P21" s="20"/>
      <c r="T21" t="s">
        <v>376</v>
      </c>
      <c r="U21" s="19" t="s">
        <v>57</v>
      </c>
      <c r="V21" s="20" t="s">
        <v>61</v>
      </c>
      <c r="W21" t="s">
        <v>384</v>
      </c>
      <c r="X21" s="19" t="s">
        <v>57</v>
      </c>
      <c r="Y21" s="20" t="s">
        <v>61</v>
      </c>
      <c r="Z21" t="s">
        <v>390</v>
      </c>
      <c r="AA21" s="19" t="s">
        <v>57</v>
      </c>
      <c r="AB21" s="20" t="s">
        <v>61</v>
      </c>
    </row>
    <row r="22" spans="1:28" x14ac:dyDescent="0.2">
      <c r="A22" t="s">
        <v>356</v>
      </c>
      <c r="B22">
        <v>17</v>
      </c>
      <c r="C22" s="20" t="s">
        <v>50</v>
      </c>
      <c r="D22" s="28">
        <v>80</v>
      </c>
      <c r="E22" t="s">
        <v>244</v>
      </c>
      <c r="F22" s="19" t="s">
        <v>57</v>
      </c>
      <c r="G22" s="20" t="s">
        <v>61</v>
      </c>
      <c r="H22" t="s">
        <v>365</v>
      </c>
      <c r="I22" s="19" t="s">
        <v>57</v>
      </c>
      <c r="J22" s="20" t="s">
        <v>61</v>
      </c>
      <c r="P22" s="20"/>
      <c r="T22" t="s">
        <v>377</v>
      </c>
      <c r="U22" s="19" t="s">
        <v>57</v>
      </c>
      <c r="V22" s="20" t="s">
        <v>61</v>
      </c>
      <c r="W22"/>
      <c r="Y22" s="20"/>
      <c r="Z22"/>
      <c r="AB22" s="20"/>
    </row>
    <row r="23" spans="1:28" x14ac:dyDescent="0.2">
      <c r="A23" t="s">
        <v>356</v>
      </c>
      <c r="B23">
        <v>18</v>
      </c>
      <c r="C23" s="20" t="s">
        <v>50</v>
      </c>
      <c r="D23" s="28">
        <v>60</v>
      </c>
      <c r="E23" t="s">
        <v>245</v>
      </c>
      <c r="F23" s="19" t="s">
        <v>57</v>
      </c>
      <c r="G23" s="20" t="s">
        <v>62</v>
      </c>
      <c r="H23" t="s">
        <v>366</v>
      </c>
      <c r="I23" s="19" t="s">
        <v>57</v>
      </c>
      <c r="J23" s="20" t="s">
        <v>61</v>
      </c>
      <c r="P23" s="20"/>
      <c r="T23" t="s">
        <v>378</v>
      </c>
      <c r="U23" s="19" t="s">
        <v>57</v>
      </c>
      <c r="V23" s="20" t="s">
        <v>61</v>
      </c>
      <c r="W23"/>
      <c r="Y23" s="20"/>
      <c r="Z23" t="s">
        <v>391</v>
      </c>
      <c r="AA23" s="19" t="s">
        <v>57</v>
      </c>
      <c r="AB23" s="20" t="s">
        <v>61</v>
      </c>
    </row>
    <row r="24" spans="1:28" x14ac:dyDescent="0.2">
      <c r="A24" t="s">
        <v>356</v>
      </c>
      <c r="B24">
        <v>18</v>
      </c>
      <c r="C24" s="20" t="s">
        <v>50</v>
      </c>
      <c r="D24" s="28">
        <v>60</v>
      </c>
      <c r="E24" t="s">
        <v>246</v>
      </c>
      <c r="F24" s="19" t="s">
        <v>57</v>
      </c>
      <c r="G24" s="20" t="s">
        <v>62</v>
      </c>
      <c r="H24"/>
      <c r="J24" s="20"/>
      <c r="P24" s="20"/>
      <c r="T24"/>
      <c r="V24" s="20"/>
      <c r="W24"/>
      <c r="Y24" s="20"/>
      <c r="Z24"/>
      <c r="AB24" s="20"/>
    </row>
    <row r="25" spans="1:28" x14ac:dyDescent="0.2">
      <c r="A25" t="s">
        <v>356</v>
      </c>
      <c r="B25">
        <v>20</v>
      </c>
      <c r="C25" s="20" t="s">
        <v>50</v>
      </c>
      <c r="D25" s="28">
        <v>40</v>
      </c>
      <c r="E25" t="s">
        <v>247</v>
      </c>
      <c r="F25" s="19" t="s">
        <v>57</v>
      </c>
      <c r="G25" s="20" t="s">
        <v>61</v>
      </c>
      <c r="H25" t="s">
        <v>367</v>
      </c>
      <c r="I25" s="19" t="s">
        <v>57</v>
      </c>
      <c r="J25" s="20" t="s">
        <v>61</v>
      </c>
      <c r="P25" s="20"/>
      <c r="T25" t="s">
        <v>379</v>
      </c>
      <c r="U25" s="19" t="s">
        <v>57</v>
      </c>
      <c r="V25" s="20" t="s">
        <v>61</v>
      </c>
      <c r="W25" t="s">
        <v>385</v>
      </c>
      <c r="X25" s="19" t="s">
        <v>57</v>
      </c>
      <c r="Y25" s="20" t="s">
        <v>61</v>
      </c>
      <c r="Z25" t="s">
        <v>392</v>
      </c>
      <c r="AA25" s="19" t="s">
        <v>57</v>
      </c>
      <c r="AB25" s="20" t="s">
        <v>61</v>
      </c>
    </row>
    <row r="26" spans="1:28" x14ac:dyDescent="0.2">
      <c r="A26" t="s">
        <v>356</v>
      </c>
      <c r="B26">
        <v>22</v>
      </c>
      <c r="C26" s="20" t="s">
        <v>50</v>
      </c>
      <c r="D26" s="28">
        <v>20</v>
      </c>
      <c r="E26" t="s">
        <v>248</v>
      </c>
      <c r="F26" s="19" t="s">
        <v>57</v>
      </c>
      <c r="G26" s="20" t="s">
        <v>61</v>
      </c>
      <c r="H26" t="s">
        <v>368</v>
      </c>
      <c r="I26" s="19" t="s">
        <v>57</v>
      </c>
      <c r="J26" s="20" t="s">
        <v>61</v>
      </c>
      <c r="P26" s="20"/>
      <c r="T26" t="s">
        <v>380</v>
      </c>
      <c r="U26" s="19" t="s">
        <v>57</v>
      </c>
      <c r="V26" s="20" t="s">
        <v>61</v>
      </c>
      <c r="W26"/>
      <c r="Y26" s="20"/>
      <c r="Z26" t="s">
        <v>393</v>
      </c>
      <c r="AA26" s="19" t="s">
        <v>57</v>
      </c>
      <c r="AB26" s="20" t="s">
        <v>61</v>
      </c>
    </row>
    <row r="27" spans="1:28" x14ac:dyDescent="0.2">
      <c r="A27" t="s">
        <v>356</v>
      </c>
      <c r="B27">
        <v>24</v>
      </c>
      <c r="C27" s="20" t="s">
        <v>50</v>
      </c>
      <c r="D27" s="28">
        <v>10</v>
      </c>
      <c r="E27" t="s">
        <v>249</v>
      </c>
      <c r="F27" s="19" t="s">
        <v>57</v>
      </c>
      <c r="G27" s="20" t="s">
        <v>61</v>
      </c>
      <c r="H27" t="s">
        <v>369</v>
      </c>
      <c r="I27" s="19" t="s">
        <v>57</v>
      </c>
      <c r="J27" s="20" t="s">
        <v>61</v>
      </c>
      <c r="P27" s="20"/>
      <c r="T27" t="s">
        <v>381</v>
      </c>
      <c r="U27" s="19" t="s">
        <v>57</v>
      </c>
      <c r="V27" s="20" t="s">
        <v>61</v>
      </c>
      <c r="W27" t="s">
        <v>386</v>
      </c>
      <c r="X27" s="19" t="s">
        <v>57</v>
      </c>
      <c r="Y27" s="20" t="s">
        <v>61</v>
      </c>
      <c r="Z27" t="s">
        <v>394</v>
      </c>
      <c r="AA27" s="19" t="s">
        <v>57</v>
      </c>
      <c r="AB27" s="20" t="s">
        <v>61</v>
      </c>
    </row>
    <row r="28" spans="1:28" x14ac:dyDescent="0.2">
      <c r="A28" s="19" t="s">
        <v>399</v>
      </c>
      <c r="B28" s="19" t="s">
        <v>136</v>
      </c>
      <c r="C28" s="20" t="s">
        <v>50</v>
      </c>
      <c r="D28" s="28">
        <v>2901</v>
      </c>
      <c r="E28" t="s">
        <v>250</v>
      </c>
      <c r="F28" s="19" t="s">
        <v>57</v>
      </c>
      <c r="G28" s="20" t="s">
        <v>62</v>
      </c>
      <c r="H28"/>
      <c r="J28" s="20"/>
      <c r="P28" s="20"/>
      <c r="V28" s="20"/>
      <c r="W28"/>
      <c r="Y28" s="20"/>
      <c r="Z28" s="30"/>
      <c r="AB28" s="20"/>
    </row>
    <row r="29" spans="1:28" x14ac:dyDescent="0.2">
      <c r="A29" s="19" t="s">
        <v>399</v>
      </c>
      <c r="B29" s="19" t="s">
        <v>136</v>
      </c>
      <c r="C29" s="20" t="s">
        <v>50</v>
      </c>
      <c r="D29" s="28">
        <v>2901</v>
      </c>
      <c r="E29" t="s">
        <v>251</v>
      </c>
      <c r="F29" s="19" t="s">
        <v>57</v>
      </c>
      <c r="G29" s="20" t="s">
        <v>62</v>
      </c>
      <c r="J29" s="20"/>
      <c r="P29" s="20"/>
      <c r="V29" s="20"/>
      <c r="W29"/>
      <c r="Y29" s="20"/>
      <c r="Z29" s="30"/>
      <c r="AB29" s="20"/>
    </row>
    <row r="30" spans="1:28" x14ac:dyDescent="0.2">
      <c r="A30" s="19" t="s">
        <v>399</v>
      </c>
      <c r="B30" s="19" t="s">
        <v>135</v>
      </c>
      <c r="C30" s="20" t="s">
        <v>50</v>
      </c>
      <c r="D30" s="28">
        <v>2901</v>
      </c>
      <c r="E30"/>
      <c r="G30" s="20"/>
      <c r="J30" s="20"/>
      <c r="P30" s="20"/>
      <c r="V30" s="20"/>
      <c r="W30" t="s">
        <v>397</v>
      </c>
      <c r="X30" s="19" t="s">
        <v>57</v>
      </c>
      <c r="Y30" s="20" t="s">
        <v>61</v>
      </c>
      <c r="Z30" t="s">
        <v>387</v>
      </c>
      <c r="AA30" s="19" t="s">
        <v>57</v>
      </c>
      <c r="AB30" s="20" t="s">
        <v>61</v>
      </c>
    </row>
    <row r="31" spans="1:28" x14ac:dyDescent="0.2">
      <c r="A31" s="19" t="s">
        <v>400</v>
      </c>
      <c r="B31" s="19" t="s">
        <v>134</v>
      </c>
      <c r="C31" s="20" t="s">
        <v>50</v>
      </c>
      <c r="D31" s="28">
        <v>80</v>
      </c>
      <c r="E31" t="s">
        <v>237</v>
      </c>
      <c r="F31" s="19" t="s">
        <v>57</v>
      </c>
      <c r="G31" s="20" t="s">
        <v>62</v>
      </c>
      <c r="H31" t="s">
        <v>401</v>
      </c>
      <c r="I31" s="19" t="s">
        <v>57</v>
      </c>
      <c r="J31" s="20" t="s">
        <v>62</v>
      </c>
      <c r="P31" s="20"/>
      <c r="V31" s="20"/>
      <c r="Y31" s="20"/>
      <c r="Z31" s="30"/>
      <c r="AB31" s="20"/>
    </row>
    <row r="32" spans="1:28" x14ac:dyDescent="0.2">
      <c r="A32" s="19" t="s">
        <v>400</v>
      </c>
      <c r="B32" s="19" t="s">
        <v>134</v>
      </c>
      <c r="C32" s="20" t="s">
        <v>50</v>
      </c>
      <c r="D32" s="28">
        <v>80</v>
      </c>
      <c r="E32" t="s">
        <v>238</v>
      </c>
      <c r="F32" s="19" t="s">
        <v>57</v>
      </c>
      <c r="G32" s="20" t="s">
        <v>62</v>
      </c>
      <c r="H32" t="s">
        <v>402</v>
      </c>
      <c r="I32" s="19" t="s">
        <v>57</v>
      </c>
      <c r="J32" s="20" t="s">
        <v>62</v>
      </c>
      <c r="P32" s="20"/>
      <c r="V32" s="20"/>
      <c r="Y32" s="20"/>
      <c r="Z32" s="30"/>
      <c r="AB32" s="20"/>
    </row>
    <row r="33" spans="1:29" x14ac:dyDescent="0.2">
      <c r="A33" s="19" t="s">
        <v>400</v>
      </c>
      <c r="B33" s="19" t="s">
        <v>136</v>
      </c>
      <c r="C33" s="20" t="s">
        <v>50</v>
      </c>
      <c r="D33" s="28">
        <v>80</v>
      </c>
      <c r="E33"/>
      <c r="G33" s="20"/>
      <c r="J33" s="20"/>
      <c r="P33" s="20"/>
      <c r="V33" s="20"/>
      <c r="W33" t="s">
        <v>403</v>
      </c>
      <c r="X33" s="19" t="s">
        <v>57</v>
      </c>
      <c r="Y33" s="20" t="s">
        <v>61</v>
      </c>
      <c r="Z33" t="s">
        <v>351</v>
      </c>
      <c r="AA33" s="19" t="s">
        <v>57</v>
      </c>
      <c r="AB33" s="20" t="s">
        <v>61</v>
      </c>
    </row>
    <row r="34" spans="1:29" x14ac:dyDescent="0.2">
      <c r="A34" s="19" t="s">
        <v>398</v>
      </c>
      <c r="B34" s="19">
        <v>1</v>
      </c>
      <c r="C34" s="20" t="s">
        <v>50</v>
      </c>
      <c r="D34" s="28">
        <v>220</v>
      </c>
      <c r="E34"/>
      <c r="G34" s="20"/>
      <c r="H34" t="s">
        <v>405</v>
      </c>
      <c r="I34" s="19" t="s">
        <v>549</v>
      </c>
      <c r="J34" s="20" t="s">
        <v>61</v>
      </c>
      <c r="P34" s="20"/>
      <c r="T34" t="s">
        <v>406</v>
      </c>
      <c r="U34" s="19" t="s">
        <v>57</v>
      </c>
      <c r="V34" s="20" t="s">
        <v>61</v>
      </c>
      <c r="W34"/>
      <c r="Y34" s="20"/>
      <c r="Z34"/>
      <c r="AB34" s="20"/>
      <c r="AC34" t="s">
        <v>436</v>
      </c>
    </row>
    <row r="35" spans="1:29" x14ac:dyDescent="0.2">
      <c r="A35" s="19" t="s">
        <v>398</v>
      </c>
      <c r="B35" s="19">
        <v>2</v>
      </c>
      <c r="C35" s="20" t="s">
        <v>50</v>
      </c>
      <c r="D35" s="28">
        <v>220</v>
      </c>
      <c r="E35"/>
      <c r="G35" s="20"/>
      <c r="H35" t="s">
        <v>407</v>
      </c>
      <c r="I35" s="19" t="s">
        <v>57</v>
      </c>
      <c r="J35" s="20" t="s">
        <v>61</v>
      </c>
      <c r="P35" s="20"/>
      <c r="T35"/>
      <c r="V35" s="20"/>
      <c r="W35"/>
      <c r="Y35" s="20"/>
      <c r="Z35"/>
      <c r="AB35" s="20"/>
    </row>
    <row r="36" spans="1:29" x14ac:dyDescent="0.2">
      <c r="A36" s="19" t="s">
        <v>398</v>
      </c>
      <c r="B36" s="19">
        <v>3</v>
      </c>
      <c r="C36" s="20" t="s">
        <v>50</v>
      </c>
      <c r="D36" s="28">
        <v>200</v>
      </c>
      <c r="E36" t="s">
        <v>238</v>
      </c>
      <c r="F36" s="19" t="s">
        <v>549</v>
      </c>
      <c r="G36" s="20" t="s">
        <v>61</v>
      </c>
      <c r="H36" t="s">
        <v>408</v>
      </c>
      <c r="I36" s="19" t="s">
        <v>549</v>
      </c>
      <c r="J36" s="20" t="s">
        <v>61</v>
      </c>
      <c r="P36" s="20"/>
      <c r="T36" t="s">
        <v>420</v>
      </c>
      <c r="U36" s="19" t="s">
        <v>57</v>
      </c>
      <c r="V36" s="20" t="s">
        <v>61</v>
      </c>
      <c r="W36"/>
      <c r="Y36" s="20"/>
      <c r="Z36"/>
      <c r="AB36" s="20"/>
      <c r="AC36" t="s">
        <v>552</v>
      </c>
    </row>
    <row r="37" spans="1:29" x14ac:dyDescent="0.2">
      <c r="A37" s="19" t="s">
        <v>398</v>
      </c>
      <c r="B37" s="19">
        <v>4</v>
      </c>
      <c r="C37" s="20" t="s">
        <v>50</v>
      </c>
      <c r="D37" s="28">
        <v>200</v>
      </c>
      <c r="E37"/>
      <c r="G37" s="20"/>
      <c r="H37" t="s">
        <v>409</v>
      </c>
      <c r="I37" s="19" t="s">
        <v>57</v>
      </c>
      <c r="J37" s="20" t="s">
        <v>61</v>
      </c>
      <c r="P37" s="20"/>
      <c r="T37"/>
      <c r="V37" s="20"/>
      <c r="W37"/>
      <c r="Y37" s="20"/>
      <c r="Z37"/>
      <c r="AB37" s="20"/>
    </row>
    <row r="38" spans="1:29" x14ac:dyDescent="0.2">
      <c r="A38" s="19" t="s">
        <v>398</v>
      </c>
      <c r="B38" s="19">
        <v>5</v>
      </c>
      <c r="C38" s="20" t="s">
        <v>50</v>
      </c>
      <c r="D38" s="28">
        <v>180</v>
      </c>
      <c r="E38"/>
      <c r="G38" s="20"/>
      <c r="H38" t="s">
        <v>410</v>
      </c>
      <c r="I38" s="19" t="s">
        <v>57</v>
      </c>
      <c r="J38" s="20" t="s">
        <v>61</v>
      </c>
      <c r="P38" s="20"/>
      <c r="T38" t="s">
        <v>421</v>
      </c>
      <c r="U38" s="19" t="s">
        <v>57</v>
      </c>
      <c r="V38" s="20" t="s">
        <v>61</v>
      </c>
      <c r="W38" t="s">
        <v>540</v>
      </c>
      <c r="X38" s="19" t="s">
        <v>57</v>
      </c>
      <c r="Y38" s="20" t="s">
        <v>61</v>
      </c>
      <c r="Z38" t="s">
        <v>351</v>
      </c>
      <c r="AA38" s="19" t="s">
        <v>57</v>
      </c>
      <c r="AB38" s="20" t="s">
        <v>61</v>
      </c>
    </row>
    <row r="39" spans="1:29" x14ac:dyDescent="0.2">
      <c r="A39" s="19" t="s">
        <v>398</v>
      </c>
      <c r="B39" s="19">
        <v>7</v>
      </c>
      <c r="C39" s="20" t="s">
        <v>50</v>
      </c>
      <c r="D39" s="28">
        <v>160</v>
      </c>
      <c r="E39"/>
      <c r="G39" s="20"/>
      <c r="H39" t="s">
        <v>411</v>
      </c>
      <c r="I39" s="19" t="s">
        <v>57</v>
      </c>
      <c r="J39" s="20" t="s">
        <v>61</v>
      </c>
      <c r="P39" s="20"/>
      <c r="T39" t="s">
        <v>422</v>
      </c>
      <c r="U39" s="19" t="s">
        <v>57</v>
      </c>
      <c r="V39" s="20" t="s">
        <v>61</v>
      </c>
      <c r="W39"/>
      <c r="Y39" s="20"/>
      <c r="Z39" t="s">
        <v>354</v>
      </c>
      <c r="AA39" s="19" t="s">
        <v>57</v>
      </c>
      <c r="AB39" s="20" t="s">
        <v>61</v>
      </c>
    </row>
    <row r="40" spans="1:29" x14ac:dyDescent="0.2">
      <c r="A40" s="19" t="s">
        <v>398</v>
      </c>
      <c r="B40" s="19">
        <v>9</v>
      </c>
      <c r="C40" s="20" t="s">
        <v>50</v>
      </c>
      <c r="D40" s="28">
        <v>140</v>
      </c>
      <c r="E40"/>
      <c r="G40" s="20"/>
      <c r="H40" t="s">
        <v>412</v>
      </c>
      <c r="I40" s="19" t="s">
        <v>57</v>
      </c>
      <c r="J40" s="20" t="s">
        <v>61</v>
      </c>
      <c r="P40" s="20"/>
      <c r="T40" t="s">
        <v>423</v>
      </c>
      <c r="U40" s="19" t="s">
        <v>57</v>
      </c>
      <c r="V40" s="20" t="s">
        <v>61</v>
      </c>
      <c r="W40" t="s">
        <v>431</v>
      </c>
      <c r="X40" s="19" t="s">
        <v>57</v>
      </c>
      <c r="Y40" s="20" t="s">
        <v>61</v>
      </c>
      <c r="Z40" t="s">
        <v>390</v>
      </c>
      <c r="AA40" s="19" t="s">
        <v>57</v>
      </c>
      <c r="AB40" s="20" t="s">
        <v>61</v>
      </c>
    </row>
    <row r="41" spans="1:29" x14ac:dyDescent="0.2">
      <c r="A41" s="19" t="s">
        <v>398</v>
      </c>
      <c r="B41" s="19">
        <v>11</v>
      </c>
      <c r="C41" s="20" t="s">
        <v>50</v>
      </c>
      <c r="D41" s="28">
        <v>120</v>
      </c>
      <c r="E41"/>
      <c r="G41" s="20"/>
      <c r="H41" t="s">
        <v>413</v>
      </c>
      <c r="I41" s="19" t="s">
        <v>57</v>
      </c>
      <c r="J41" s="20" t="s">
        <v>61</v>
      </c>
      <c r="P41" s="20"/>
      <c r="T41" t="s">
        <v>424</v>
      </c>
      <c r="U41" s="19" t="s">
        <v>57</v>
      </c>
      <c r="V41" s="20" t="s">
        <v>61</v>
      </c>
      <c r="W41"/>
      <c r="Y41" s="20"/>
      <c r="Z41"/>
      <c r="AB41" s="20"/>
    </row>
    <row r="42" spans="1:29" x14ac:dyDescent="0.2">
      <c r="A42" s="19" t="s">
        <v>398</v>
      </c>
      <c r="B42" s="19">
        <v>13</v>
      </c>
      <c r="C42" s="20" t="s">
        <v>50</v>
      </c>
      <c r="D42" s="28">
        <v>100</v>
      </c>
      <c r="E42"/>
      <c r="G42" s="20"/>
      <c r="H42" t="s">
        <v>414</v>
      </c>
      <c r="I42" s="19" t="s">
        <v>57</v>
      </c>
      <c r="J42" s="20" t="s">
        <v>61</v>
      </c>
      <c r="P42" s="20"/>
      <c r="T42" t="s">
        <v>425</v>
      </c>
      <c r="U42" s="19" t="s">
        <v>57</v>
      </c>
      <c r="V42" s="20" t="s">
        <v>61</v>
      </c>
      <c r="W42" t="s">
        <v>432</v>
      </c>
      <c r="X42" s="19" t="s">
        <v>57</v>
      </c>
      <c r="Y42" s="20" t="s">
        <v>61</v>
      </c>
      <c r="Z42" t="s">
        <v>392</v>
      </c>
      <c r="AA42" s="19" t="s">
        <v>57</v>
      </c>
      <c r="AB42" s="20" t="s">
        <v>61</v>
      </c>
    </row>
    <row r="43" spans="1:29" x14ac:dyDescent="0.2">
      <c r="A43" s="19" t="s">
        <v>398</v>
      </c>
      <c r="B43" s="19">
        <v>15</v>
      </c>
      <c r="C43" s="20" t="s">
        <v>50</v>
      </c>
      <c r="D43" s="28">
        <v>80</v>
      </c>
      <c r="E43"/>
      <c r="G43" s="20"/>
      <c r="H43" t="s">
        <v>415</v>
      </c>
      <c r="I43" s="19" t="s">
        <v>57</v>
      </c>
      <c r="J43" s="20" t="s">
        <v>61</v>
      </c>
      <c r="P43" s="20"/>
      <c r="T43" t="s">
        <v>426</v>
      </c>
      <c r="U43" s="19" t="s">
        <v>57</v>
      </c>
      <c r="V43" s="20" t="s">
        <v>61</v>
      </c>
      <c r="W43"/>
      <c r="Y43" s="20"/>
      <c r="Z43" t="s">
        <v>387</v>
      </c>
      <c r="AA43" s="19" t="s">
        <v>57</v>
      </c>
      <c r="AB43" s="20" t="s">
        <v>61</v>
      </c>
    </row>
    <row r="44" spans="1:29" x14ac:dyDescent="0.2">
      <c r="A44" s="19" t="s">
        <v>398</v>
      </c>
      <c r="B44" s="19">
        <v>17</v>
      </c>
      <c r="C44" s="20" t="s">
        <v>50</v>
      </c>
      <c r="D44" s="28">
        <v>60</v>
      </c>
      <c r="E44"/>
      <c r="G44" s="20"/>
      <c r="H44" t="s">
        <v>416</v>
      </c>
      <c r="I44" s="19" t="s">
        <v>57</v>
      </c>
      <c r="J44" s="20" t="s">
        <v>61</v>
      </c>
      <c r="P44" s="20"/>
      <c r="T44" t="s">
        <v>427</v>
      </c>
      <c r="U44" s="19" t="s">
        <v>57</v>
      </c>
      <c r="V44" s="20" t="s">
        <v>61</v>
      </c>
      <c r="W44"/>
      <c r="Y44" s="20"/>
      <c r="Z44"/>
      <c r="AB44" s="20"/>
    </row>
    <row r="45" spans="1:29" x14ac:dyDescent="0.2">
      <c r="A45" s="19" t="s">
        <v>398</v>
      </c>
      <c r="B45" s="19">
        <v>19</v>
      </c>
      <c r="C45" s="20" t="s">
        <v>50</v>
      </c>
      <c r="D45" s="28">
        <v>40</v>
      </c>
      <c r="E45" t="s">
        <v>247</v>
      </c>
      <c r="F45" s="19" t="s">
        <v>549</v>
      </c>
      <c r="G45" s="20" t="s">
        <v>62</v>
      </c>
      <c r="H45" t="s">
        <v>417</v>
      </c>
      <c r="I45" s="19" t="s">
        <v>57</v>
      </c>
      <c r="J45" s="20" t="s">
        <v>61</v>
      </c>
      <c r="P45" s="20"/>
      <c r="T45" t="s">
        <v>428</v>
      </c>
      <c r="U45" s="19" t="s">
        <v>57</v>
      </c>
      <c r="V45" s="20" t="s">
        <v>61</v>
      </c>
      <c r="W45" t="s">
        <v>433</v>
      </c>
      <c r="X45" s="19" t="s">
        <v>57</v>
      </c>
      <c r="Y45" s="20" t="s">
        <v>61</v>
      </c>
      <c r="Z45" t="s">
        <v>389</v>
      </c>
      <c r="AA45" s="19" t="s">
        <v>57</v>
      </c>
      <c r="AB45" s="20" t="s">
        <v>61</v>
      </c>
      <c r="AC45" s="28" t="s">
        <v>551</v>
      </c>
    </row>
    <row r="46" spans="1:29" x14ac:dyDescent="0.2">
      <c r="A46" s="19" t="s">
        <v>398</v>
      </c>
      <c r="B46" s="19">
        <v>19</v>
      </c>
      <c r="C46" s="20" t="s">
        <v>50</v>
      </c>
      <c r="D46" s="28">
        <v>40</v>
      </c>
      <c r="E46" t="s">
        <v>248</v>
      </c>
      <c r="F46" s="19" t="s">
        <v>549</v>
      </c>
      <c r="G46" s="20" t="s">
        <v>62</v>
      </c>
      <c r="H46"/>
      <c r="J46" s="20"/>
      <c r="P46" s="20"/>
      <c r="T46"/>
      <c r="V46" s="20"/>
      <c r="W46"/>
      <c r="Y46" s="20"/>
      <c r="Z46"/>
      <c r="AB46" s="20"/>
      <c r="AC46" s="28" t="s">
        <v>551</v>
      </c>
    </row>
    <row r="47" spans="1:29" x14ac:dyDescent="0.2">
      <c r="A47" s="19" t="s">
        <v>398</v>
      </c>
      <c r="B47" s="19">
        <v>21</v>
      </c>
      <c r="C47" s="20" t="s">
        <v>50</v>
      </c>
      <c r="D47" s="28">
        <v>20</v>
      </c>
      <c r="E47"/>
      <c r="G47" s="20"/>
      <c r="H47" t="s">
        <v>418</v>
      </c>
      <c r="I47" s="19" t="s">
        <v>57</v>
      </c>
      <c r="J47" s="20" t="s">
        <v>61</v>
      </c>
      <c r="P47" s="20"/>
      <c r="T47" t="s">
        <v>429</v>
      </c>
      <c r="U47" s="19" t="s">
        <v>57</v>
      </c>
      <c r="V47" s="20" t="s">
        <v>61</v>
      </c>
      <c r="W47"/>
      <c r="Y47" s="20"/>
      <c r="Z47" t="s">
        <v>349</v>
      </c>
      <c r="AA47" s="19" t="s">
        <v>57</v>
      </c>
      <c r="AB47" s="20" t="s">
        <v>61</v>
      </c>
    </row>
    <row r="48" spans="1:29" x14ac:dyDescent="0.2">
      <c r="A48" s="19" t="s">
        <v>398</v>
      </c>
      <c r="B48" s="19">
        <v>23</v>
      </c>
      <c r="C48" s="20" t="s">
        <v>50</v>
      </c>
      <c r="D48" s="28">
        <v>10</v>
      </c>
      <c r="E48"/>
      <c r="G48" s="20"/>
      <c r="H48" t="s">
        <v>419</v>
      </c>
      <c r="I48" s="19" t="s">
        <v>57</v>
      </c>
      <c r="J48" s="20" t="s">
        <v>61</v>
      </c>
      <c r="P48" s="20"/>
      <c r="T48" t="s">
        <v>430</v>
      </c>
      <c r="U48" s="19" t="s">
        <v>57</v>
      </c>
      <c r="V48" s="20" t="s">
        <v>61</v>
      </c>
      <c r="W48" t="s">
        <v>434</v>
      </c>
      <c r="X48" s="19" t="s">
        <v>57</v>
      </c>
      <c r="Y48" s="20" t="s">
        <v>61</v>
      </c>
      <c r="Z48" t="s">
        <v>350</v>
      </c>
      <c r="AA48" s="19" t="s">
        <v>57</v>
      </c>
      <c r="AB48" s="20" t="s">
        <v>61</v>
      </c>
    </row>
    <row r="49" spans="1:29" x14ac:dyDescent="0.2">
      <c r="A49" s="19" t="s">
        <v>440</v>
      </c>
      <c r="B49" s="19" t="s">
        <v>136</v>
      </c>
      <c r="C49" s="20" t="s">
        <v>50</v>
      </c>
      <c r="D49" s="28">
        <v>770</v>
      </c>
      <c r="E49"/>
      <c r="G49" s="20"/>
      <c r="H49"/>
      <c r="J49" s="20"/>
      <c r="P49" s="20"/>
      <c r="T49"/>
      <c r="V49" s="20"/>
      <c r="W49" t="s">
        <v>441</v>
      </c>
      <c r="X49" s="19" t="s">
        <v>57</v>
      </c>
      <c r="Y49" s="20" t="s">
        <v>61</v>
      </c>
      <c r="Z49"/>
      <c r="AB49" s="20"/>
    </row>
    <row r="50" spans="1:29" x14ac:dyDescent="0.2">
      <c r="A50" s="19" t="s">
        <v>435</v>
      </c>
      <c r="B50" s="19" t="s">
        <v>134</v>
      </c>
      <c r="C50" s="20" t="s">
        <v>50</v>
      </c>
      <c r="D50" s="28">
        <v>596</v>
      </c>
      <c r="E50" t="s">
        <v>251</v>
      </c>
      <c r="F50" s="19" t="s">
        <v>57</v>
      </c>
      <c r="G50" s="20" t="s">
        <v>62</v>
      </c>
      <c r="H50" t="s">
        <v>437</v>
      </c>
      <c r="I50" s="19" t="s">
        <v>57</v>
      </c>
      <c r="J50" s="20" t="s">
        <v>61</v>
      </c>
      <c r="P50" s="20"/>
      <c r="T50"/>
      <c r="V50" s="20"/>
      <c r="Y50" s="20"/>
      <c r="Z50"/>
      <c r="AB50" s="20"/>
    </row>
    <row r="51" spans="1:29" x14ac:dyDescent="0.2">
      <c r="A51" s="19" t="s">
        <v>435</v>
      </c>
      <c r="B51" s="19" t="s">
        <v>134</v>
      </c>
      <c r="C51" s="20" t="s">
        <v>50</v>
      </c>
      <c r="D51" s="28">
        <v>596</v>
      </c>
      <c r="E51" t="s">
        <v>256</v>
      </c>
      <c r="F51" s="19" t="s">
        <v>57</v>
      </c>
      <c r="G51" s="38" t="s">
        <v>62</v>
      </c>
      <c r="H51"/>
      <c r="I51" s="39"/>
      <c r="J51" s="20"/>
      <c r="P51" s="20"/>
      <c r="T51"/>
      <c r="V51" s="20"/>
      <c r="W51"/>
      <c r="Y51" s="20"/>
      <c r="Z51"/>
      <c r="AB51" s="20"/>
    </row>
    <row r="52" spans="1:29" x14ac:dyDescent="0.2">
      <c r="A52" s="19" t="s">
        <v>435</v>
      </c>
      <c r="B52" s="19" t="s">
        <v>136</v>
      </c>
      <c r="C52" s="20" t="s">
        <v>50</v>
      </c>
      <c r="D52" s="28">
        <v>596</v>
      </c>
      <c r="E52"/>
      <c r="G52" s="38"/>
      <c r="H52"/>
      <c r="I52" s="39"/>
      <c r="J52" s="20"/>
      <c r="P52" s="20"/>
      <c r="T52" t="s">
        <v>438</v>
      </c>
      <c r="U52" s="19" t="s">
        <v>57</v>
      </c>
      <c r="V52" s="20" t="s">
        <v>61</v>
      </c>
      <c r="W52" t="s">
        <v>439</v>
      </c>
      <c r="X52" s="19" t="s">
        <v>57</v>
      </c>
      <c r="Y52" s="20" t="s">
        <v>61</v>
      </c>
      <c r="Z52"/>
      <c r="AB52" s="20"/>
    </row>
    <row r="53" spans="1:29" x14ac:dyDescent="0.2">
      <c r="A53" s="19" t="s">
        <v>442</v>
      </c>
      <c r="B53" s="19">
        <v>1</v>
      </c>
      <c r="C53" s="20" t="s">
        <v>50</v>
      </c>
      <c r="D53" s="28">
        <v>2600</v>
      </c>
      <c r="E53" t="s">
        <v>237</v>
      </c>
      <c r="F53" s="19" t="s">
        <v>57</v>
      </c>
      <c r="G53" s="20" t="s">
        <v>61</v>
      </c>
      <c r="H53"/>
      <c r="J53" s="20"/>
      <c r="P53" s="20"/>
      <c r="T53"/>
      <c r="V53" s="20"/>
      <c r="W53" t="s">
        <v>454</v>
      </c>
      <c r="X53" s="19" t="s">
        <v>57</v>
      </c>
      <c r="Y53" s="20" t="s">
        <v>61</v>
      </c>
      <c r="Z53" t="s">
        <v>355</v>
      </c>
      <c r="AA53" s="19" t="s">
        <v>57</v>
      </c>
      <c r="AB53" s="20" t="s">
        <v>61</v>
      </c>
    </row>
    <row r="54" spans="1:29" x14ac:dyDescent="0.2">
      <c r="A54" s="19" t="s">
        <v>442</v>
      </c>
      <c r="B54" s="19">
        <v>3</v>
      </c>
      <c r="C54" s="20" t="s">
        <v>50</v>
      </c>
      <c r="D54" s="28">
        <v>2400</v>
      </c>
      <c r="E54" t="s">
        <v>238</v>
      </c>
      <c r="F54" s="19" t="s">
        <v>57</v>
      </c>
      <c r="G54" s="20" t="s">
        <v>61</v>
      </c>
      <c r="H54"/>
      <c r="J54" s="20"/>
      <c r="P54" s="20"/>
      <c r="T54"/>
      <c r="V54" s="20"/>
      <c r="W54"/>
      <c r="Y54" s="20"/>
      <c r="Z54"/>
      <c r="AB54" s="20"/>
    </row>
    <row r="55" spans="1:29" x14ac:dyDescent="0.2">
      <c r="A55" s="19" t="s">
        <v>442</v>
      </c>
      <c r="B55" s="19">
        <v>7</v>
      </c>
      <c r="C55" s="20" t="s">
        <v>50</v>
      </c>
      <c r="D55" s="28">
        <v>2000</v>
      </c>
      <c r="E55" t="s">
        <v>246</v>
      </c>
      <c r="F55" s="19" t="s">
        <v>57</v>
      </c>
      <c r="G55" s="20" t="s">
        <v>61</v>
      </c>
      <c r="H55"/>
      <c r="J55" s="20"/>
      <c r="P55" s="20"/>
      <c r="T55"/>
      <c r="V55" s="20"/>
      <c r="W55" t="s">
        <v>455</v>
      </c>
      <c r="X55" s="19" t="s">
        <v>57</v>
      </c>
      <c r="Y55" s="20" t="s">
        <v>61</v>
      </c>
      <c r="Z55" t="s">
        <v>354</v>
      </c>
      <c r="AA55" s="19" t="s">
        <v>549</v>
      </c>
      <c r="AB55" s="20" t="s">
        <v>61</v>
      </c>
      <c r="AC55" s="19" t="s">
        <v>554</v>
      </c>
    </row>
    <row r="56" spans="1:29" x14ac:dyDescent="0.2">
      <c r="A56" s="19" t="s">
        <v>442</v>
      </c>
      <c r="B56" s="19">
        <v>11</v>
      </c>
      <c r="C56" s="20" t="s">
        <v>50</v>
      </c>
      <c r="D56" s="28">
        <v>1000</v>
      </c>
      <c r="E56" t="s">
        <v>240</v>
      </c>
      <c r="F56" s="19" t="s">
        <v>57</v>
      </c>
      <c r="G56" s="20" t="s">
        <v>62</v>
      </c>
      <c r="H56"/>
      <c r="J56" s="20"/>
      <c r="P56" s="20"/>
      <c r="T56"/>
      <c r="V56" s="20"/>
      <c r="W56"/>
      <c r="Y56" s="20"/>
      <c r="Z56" t="s">
        <v>387</v>
      </c>
      <c r="AA56" s="19" t="s">
        <v>57</v>
      </c>
      <c r="AB56" s="20" t="s">
        <v>61</v>
      </c>
    </row>
    <row r="57" spans="1:29" x14ac:dyDescent="0.2">
      <c r="A57" s="19" t="s">
        <v>442</v>
      </c>
      <c r="B57" s="19">
        <v>11</v>
      </c>
      <c r="C57" s="20" t="s">
        <v>50</v>
      </c>
      <c r="D57" s="28">
        <v>1000</v>
      </c>
      <c r="E57" t="s">
        <v>239</v>
      </c>
      <c r="F57" s="19" t="s">
        <v>57</v>
      </c>
      <c r="G57" s="20" t="s">
        <v>62</v>
      </c>
      <c r="H57"/>
      <c r="J57" s="20"/>
      <c r="P57" s="20"/>
      <c r="T57"/>
      <c r="V57" s="20"/>
      <c r="W57"/>
      <c r="Y57" s="20"/>
      <c r="Z57"/>
      <c r="AB57" s="20"/>
    </row>
    <row r="58" spans="1:29" x14ac:dyDescent="0.2">
      <c r="A58" s="19" t="s">
        <v>442</v>
      </c>
      <c r="B58" s="19">
        <v>13</v>
      </c>
      <c r="C58" s="20" t="s">
        <v>50</v>
      </c>
      <c r="D58" s="28">
        <v>500</v>
      </c>
      <c r="E58" t="s">
        <v>241</v>
      </c>
      <c r="F58" s="19" t="s">
        <v>57</v>
      </c>
      <c r="G58" s="20" t="s">
        <v>61</v>
      </c>
      <c r="H58"/>
      <c r="J58" s="20"/>
      <c r="P58" s="20"/>
      <c r="T58"/>
      <c r="V58" s="20"/>
      <c r="W58" t="s">
        <v>456</v>
      </c>
      <c r="X58" s="19" t="s">
        <v>57</v>
      </c>
      <c r="Y58" s="20" t="s">
        <v>61</v>
      </c>
      <c r="Z58"/>
      <c r="AB58" s="20"/>
    </row>
    <row r="59" spans="1:29" x14ac:dyDescent="0.2">
      <c r="A59" s="19" t="s">
        <v>442</v>
      </c>
      <c r="B59" s="19">
        <v>15</v>
      </c>
      <c r="C59" s="20" t="s">
        <v>50</v>
      </c>
      <c r="D59" s="28">
        <v>250</v>
      </c>
      <c r="E59" t="s">
        <v>242</v>
      </c>
      <c r="F59" s="19" t="s">
        <v>57</v>
      </c>
      <c r="G59" s="20" t="s">
        <v>61</v>
      </c>
      <c r="H59" t="s">
        <v>444</v>
      </c>
      <c r="I59" s="19" t="s">
        <v>57</v>
      </c>
      <c r="J59" s="20" t="s">
        <v>61</v>
      </c>
      <c r="P59" s="20"/>
      <c r="T59" t="s">
        <v>449</v>
      </c>
      <c r="U59" s="19" t="s">
        <v>57</v>
      </c>
      <c r="V59" s="20" t="s">
        <v>61</v>
      </c>
      <c r="W59"/>
      <c r="Y59" s="20"/>
      <c r="Z59" t="s">
        <v>351</v>
      </c>
      <c r="AA59" s="19" t="s">
        <v>549</v>
      </c>
      <c r="AB59" s="20" t="s">
        <v>61</v>
      </c>
      <c r="AC59" s="19" t="s">
        <v>554</v>
      </c>
    </row>
    <row r="60" spans="1:29" x14ac:dyDescent="0.2">
      <c r="A60" s="19" t="s">
        <v>442</v>
      </c>
      <c r="B60" s="19">
        <v>17</v>
      </c>
      <c r="C60" s="20" t="s">
        <v>50</v>
      </c>
      <c r="D60" s="28">
        <v>100</v>
      </c>
      <c r="E60" t="s">
        <v>243</v>
      </c>
      <c r="F60" s="19" t="s">
        <v>57</v>
      </c>
      <c r="G60" s="20" t="s">
        <v>61</v>
      </c>
      <c r="H60" t="s">
        <v>445</v>
      </c>
      <c r="I60" s="19" t="s">
        <v>57</v>
      </c>
      <c r="J60" s="20" t="s">
        <v>61</v>
      </c>
      <c r="P60" s="20"/>
      <c r="T60" t="s">
        <v>450</v>
      </c>
      <c r="U60" s="19" t="s">
        <v>57</v>
      </c>
      <c r="V60" s="20" t="s">
        <v>61</v>
      </c>
      <c r="W60" t="s">
        <v>457</v>
      </c>
      <c r="X60" s="19" t="s">
        <v>57</v>
      </c>
      <c r="Y60" s="20" t="s">
        <v>61</v>
      </c>
      <c r="Z60"/>
      <c r="AB60" s="20"/>
    </row>
    <row r="61" spans="1:29" x14ac:dyDescent="0.2">
      <c r="A61" s="19" t="s">
        <v>442</v>
      </c>
      <c r="B61" s="19">
        <v>19</v>
      </c>
      <c r="C61" s="20" t="s">
        <v>50</v>
      </c>
      <c r="D61" s="28">
        <v>50</v>
      </c>
      <c r="E61"/>
      <c r="G61" s="20"/>
      <c r="H61" t="s">
        <v>446</v>
      </c>
      <c r="I61" s="19" t="s">
        <v>57</v>
      </c>
      <c r="J61" s="20" t="s">
        <v>61</v>
      </c>
      <c r="P61" s="20"/>
      <c r="T61" t="s">
        <v>451</v>
      </c>
      <c r="U61" s="19" t="s">
        <v>57</v>
      </c>
      <c r="V61" s="20" t="s">
        <v>61</v>
      </c>
      <c r="W61"/>
      <c r="Y61" s="20"/>
      <c r="Z61"/>
      <c r="AB61" s="20"/>
    </row>
    <row r="62" spans="1:29" x14ac:dyDescent="0.2">
      <c r="A62" s="19" t="s">
        <v>442</v>
      </c>
      <c r="B62" s="19">
        <v>21</v>
      </c>
      <c r="C62" s="20" t="s">
        <v>50</v>
      </c>
      <c r="D62" s="28">
        <v>30</v>
      </c>
      <c r="E62" t="s">
        <v>244</v>
      </c>
      <c r="F62" s="19" t="s">
        <v>57</v>
      </c>
      <c r="G62" s="20" t="s">
        <v>61</v>
      </c>
      <c r="H62" t="s">
        <v>447</v>
      </c>
      <c r="I62" s="19" t="s">
        <v>57</v>
      </c>
      <c r="J62" s="20" t="s">
        <v>61</v>
      </c>
      <c r="T62" t="s">
        <v>452</v>
      </c>
      <c r="U62" s="19" t="s">
        <v>57</v>
      </c>
      <c r="V62" s="20" t="s">
        <v>61</v>
      </c>
      <c r="W62"/>
      <c r="Y62" s="20"/>
      <c r="Z62" t="s">
        <v>390</v>
      </c>
      <c r="AA62" s="19" t="s">
        <v>57</v>
      </c>
      <c r="AB62" s="20" t="s">
        <v>61</v>
      </c>
    </row>
    <row r="63" spans="1:29" x14ac:dyDescent="0.2">
      <c r="A63" s="19" t="s">
        <v>442</v>
      </c>
      <c r="B63" s="19">
        <v>23</v>
      </c>
      <c r="C63" s="20" t="s">
        <v>50</v>
      </c>
      <c r="D63" s="28">
        <v>10</v>
      </c>
      <c r="E63" t="s">
        <v>245</v>
      </c>
      <c r="F63" s="19" t="s">
        <v>57</v>
      </c>
      <c r="G63" s="20" t="s">
        <v>61</v>
      </c>
      <c r="H63" t="s">
        <v>448</v>
      </c>
      <c r="I63" s="19" t="s">
        <v>57</v>
      </c>
      <c r="J63" s="20" t="s">
        <v>61</v>
      </c>
      <c r="T63" t="s">
        <v>453</v>
      </c>
      <c r="U63" s="19" t="s">
        <v>57</v>
      </c>
      <c r="V63" s="20" t="s">
        <v>61</v>
      </c>
      <c r="W63" t="s">
        <v>458</v>
      </c>
      <c r="X63" s="19" t="s">
        <v>57</v>
      </c>
      <c r="Y63" s="20" t="s">
        <v>61</v>
      </c>
      <c r="Z63" t="s">
        <v>389</v>
      </c>
      <c r="AA63" s="19" t="s">
        <v>549</v>
      </c>
      <c r="AB63" s="20" t="s">
        <v>61</v>
      </c>
      <c r="AC63" s="19" t="s">
        <v>554</v>
      </c>
    </row>
    <row r="64" spans="1:29" x14ac:dyDescent="0.2">
      <c r="A64" s="19" t="s">
        <v>460</v>
      </c>
      <c r="B64" s="19" t="s">
        <v>137</v>
      </c>
      <c r="C64" s="20" t="s">
        <v>50</v>
      </c>
      <c r="D64" s="28">
        <v>1540</v>
      </c>
      <c r="E64"/>
      <c r="G64" s="20"/>
      <c r="J64" s="20"/>
      <c r="V64" s="20"/>
      <c r="W64" t="s">
        <v>459</v>
      </c>
      <c r="X64" s="19" t="s">
        <v>57</v>
      </c>
      <c r="Y64" s="20" t="s">
        <v>61</v>
      </c>
      <c r="Z64" s="31"/>
      <c r="AB64" s="20"/>
    </row>
    <row r="65" spans="1:28" x14ac:dyDescent="0.2">
      <c r="A65" s="19" t="s">
        <v>462</v>
      </c>
      <c r="B65">
        <v>1</v>
      </c>
      <c r="C65" s="20" t="s">
        <v>50</v>
      </c>
      <c r="D65" s="28">
        <v>570</v>
      </c>
      <c r="E65"/>
      <c r="G65" s="20"/>
      <c r="H65" t="s">
        <v>472</v>
      </c>
      <c r="I65" s="19" t="s">
        <v>57</v>
      </c>
      <c r="J65" s="20" t="s">
        <v>61</v>
      </c>
      <c r="T65" t="s">
        <v>484</v>
      </c>
      <c r="U65" s="19" t="s">
        <v>57</v>
      </c>
      <c r="V65" s="20" t="s">
        <v>61</v>
      </c>
      <c r="W65"/>
      <c r="Y65" s="20"/>
      <c r="Z65"/>
      <c r="AB65" s="20"/>
    </row>
    <row r="66" spans="1:28" x14ac:dyDescent="0.2">
      <c r="A66" s="19" t="s">
        <v>462</v>
      </c>
      <c r="B66">
        <v>3</v>
      </c>
      <c r="C66" s="20" t="s">
        <v>50</v>
      </c>
      <c r="D66" s="28">
        <v>550</v>
      </c>
      <c r="E66" t="s">
        <v>237</v>
      </c>
      <c r="F66" s="19" t="s">
        <v>57</v>
      </c>
      <c r="G66" s="20" t="s">
        <v>61</v>
      </c>
      <c r="H66" t="s">
        <v>473</v>
      </c>
      <c r="I66" s="19" t="s">
        <v>57</v>
      </c>
      <c r="J66" s="20" t="s">
        <v>61</v>
      </c>
      <c r="T66" t="s">
        <v>485</v>
      </c>
      <c r="U66" s="19" t="s">
        <v>57</v>
      </c>
      <c r="V66" s="20" t="s">
        <v>61</v>
      </c>
      <c r="W66" t="s">
        <v>496</v>
      </c>
      <c r="X66" s="19" t="s">
        <v>57</v>
      </c>
      <c r="Y66" s="20" t="s">
        <v>61</v>
      </c>
      <c r="Z66" t="s">
        <v>351</v>
      </c>
      <c r="AA66" s="19" t="s">
        <v>57</v>
      </c>
      <c r="AB66" s="20" t="s">
        <v>61</v>
      </c>
    </row>
    <row r="67" spans="1:28" x14ac:dyDescent="0.2">
      <c r="A67" s="19" t="s">
        <v>462</v>
      </c>
      <c r="B67">
        <v>5</v>
      </c>
      <c r="C67" s="20" t="s">
        <v>50</v>
      </c>
      <c r="D67" s="28">
        <v>500</v>
      </c>
      <c r="E67" t="s">
        <v>238</v>
      </c>
      <c r="F67" s="19" t="s">
        <v>57</v>
      </c>
      <c r="G67" s="20" t="s">
        <v>61</v>
      </c>
      <c r="H67" t="s">
        <v>474</v>
      </c>
      <c r="I67" s="19" t="s">
        <v>57</v>
      </c>
      <c r="J67" s="20" t="s">
        <v>61</v>
      </c>
      <c r="T67" t="s">
        <v>486</v>
      </c>
      <c r="U67" s="19" t="s">
        <v>57</v>
      </c>
      <c r="V67" s="20" t="s">
        <v>61</v>
      </c>
      <c r="W67"/>
      <c r="Y67" s="20"/>
      <c r="Z67"/>
      <c r="AB67" s="20"/>
    </row>
    <row r="68" spans="1:28" x14ac:dyDescent="0.2">
      <c r="A68" s="19" t="s">
        <v>462</v>
      </c>
      <c r="B68">
        <v>7</v>
      </c>
      <c r="C68" s="20" t="s">
        <v>50</v>
      </c>
      <c r="D68" s="28">
        <v>450</v>
      </c>
      <c r="E68" t="s">
        <v>239</v>
      </c>
      <c r="F68" s="19" t="s">
        <v>57</v>
      </c>
      <c r="G68" s="20" t="s">
        <v>61</v>
      </c>
      <c r="H68" t="s">
        <v>475</v>
      </c>
      <c r="I68" s="19" t="s">
        <v>57</v>
      </c>
      <c r="J68" s="20" t="s">
        <v>61</v>
      </c>
      <c r="T68" t="s">
        <v>487</v>
      </c>
      <c r="U68" s="19" t="s">
        <v>57</v>
      </c>
      <c r="V68" s="20" t="s">
        <v>61</v>
      </c>
      <c r="W68" t="s">
        <v>497</v>
      </c>
      <c r="X68" s="19" t="s">
        <v>57</v>
      </c>
      <c r="Y68" s="20" t="s">
        <v>61</v>
      </c>
      <c r="Z68" t="s">
        <v>349</v>
      </c>
      <c r="AA68" s="19" t="s">
        <v>57</v>
      </c>
      <c r="AB68" s="20" t="s">
        <v>61</v>
      </c>
    </row>
    <row r="69" spans="1:28" x14ac:dyDescent="0.2">
      <c r="A69" s="19" t="s">
        <v>462</v>
      </c>
      <c r="B69">
        <v>9</v>
      </c>
      <c r="C69" s="20" t="s">
        <v>50</v>
      </c>
      <c r="D69" s="28">
        <v>400</v>
      </c>
      <c r="E69" t="s">
        <v>240</v>
      </c>
      <c r="F69" s="19" t="s">
        <v>57</v>
      </c>
      <c r="G69" s="20" t="s">
        <v>61</v>
      </c>
      <c r="H69" t="s">
        <v>476</v>
      </c>
      <c r="I69" s="19" t="s">
        <v>57</v>
      </c>
      <c r="J69" s="20" t="s">
        <v>61</v>
      </c>
      <c r="T69" t="s">
        <v>488</v>
      </c>
      <c r="U69" s="19" t="s">
        <v>57</v>
      </c>
      <c r="V69" s="20" t="s">
        <v>61</v>
      </c>
      <c r="W69"/>
      <c r="Y69" s="20"/>
      <c r="Z69"/>
      <c r="AB69" s="20"/>
    </row>
    <row r="70" spans="1:28" x14ac:dyDescent="0.2">
      <c r="A70" s="19" t="s">
        <v>462</v>
      </c>
      <c r="B70">
        <v>11</v>
      </c>
      <c r="C70" s="20" t="s">
        <v>51</v>
      </c>
      <c r="D70" s="28">
        <v>350</v>
      </c>
      <c r="E70"/>
      <c r="G70" s="20"/>
      <c r="H70" t="s">
        <v>477</v>
      </c>
      <c r="I70" s="19" t="s">
        <v>57</v>
      </c>
      <c r="J70" s="20" t="s">
        <v>61</v>
      </c>
      <c r="T70" t="s">
        <v>489</v>
      </c>
      <c r="U70" s="19" t="s">
        <v>57</v>
      </c>
      <c r="V70" s="20" t="s">
        <v>61</v>
      </c>
      <c r="W70" t="s">
        <v>498</v>
      </c>
      <c r="X70" s="19" t="s">
        <v>57</v>
      </c>
      <c r="Y70" s="20" t="s">
        <v>61</v>
      </c>
      <c r="Z70" t="s">
        <v>390</v>
      </c>
      <c r="AA70" s="19" t="s">
        <v>57</v>
      </c>
      <c r="AB70" s="20" t="s">
        <v>61</v>
      </c>
    </row>
    <row r="71" spans="1:28" x14ac:dyDescent="0.2">
      <c r="A71" s="19" t="s">
        <v>462</v>
      </c>
      <c r="B71">
        <v>12</v>
      </c>
      <c r="C71" s="20" t="s">
        <v>50</v>
      </c>
      <c r="D71" s="28">
        <v>350</v>
      </c>
      <c r="E71" t="s">
        <v>241</v>
      </c>
      <c r="F71" s="19" t="s">
        <v>57</v>
      </c>
      <c r="G71" s="20" t="s">
        <v>61</v>
      </c>
      <c r="H71"/>
      <c r="J71" s="20"/>
      <c r="T71"/>
      <c r="V71" s="20"/>
      <c r="W71"/>
      <c r="Y71" s="20"/>
      <c r="Z71"/>
      <c r="AB71" s="20"/>
    </row>
    <row r="72" spans="1:28" x14ac:dyDescent="0.2">
      <c r="A72" s="19" t="s">
        <v>462</v>
      </c>
      <c r="B72">
        <v>13</v>
      </c>
      <c r="C72" s="20" t="s">
        <v>50</v>
      </c>
      <c r="D72" s="28">
        <v>325</v>
      </c>
      <c r="E72" t="s">
        <v>242</v>
      </c>
      <c r="F72" s="19" t="s">
        <v>57</v>
      </c>
      <c r="G72" s="20" t="s">
        <v>61</v>
      </c>
      <c r="H72" t="s">
        <v>478</v>
      </c>
      <c r="I72" s="19" t="s">
        <v>57</v>
      </c>
      <c r="J72" s="20" t="s">
        <v>61</v>
      </c>
      <c r="T72" t="s">
        <v>490</v>
      </c>
      <c r="U72" s="19" t="s">
        <v>57</v>
      </c>
      <c r="V72" s="20" t="s">
        <v>61</v>
      </c>
      <c r="W72"/>
      <c r="Y72" s="20"/>
      <c r="Z72"/>
      <c r="AB72" s="20"/>
    </row>
    <row r="73" spans="1:28" x14ac:dyDescent="0.2">
      <c r="A73" s="19" t="s">
        <v>462</v>
      </c>
      <c r="B73">
        <v>15</v>
      </c>
      <c r="C73" s="20" t="s">
        <v>50</v>
      </c>
      <c r="D73" s="28">
        <v>300</v>
      </c>
      <c r="E73" t="s">
        <v>243</v>
      </c>
      <c r="F73" s="19" t="s">
        <v>57</v>
      </c>
      <c r="G73" s="20" t="s">
        <v>61</v>
      </c>
      <c r="H73" t="s">
        <v>479</v>
      </c>
      <c r="I73" s="19" t="s">
        <v>57</v>
      </c>
      <c r="J73" s="20" t="s">
        <v>61</v>
      </c>
      <c r="T73" t="s">
        <v>491</v>
      </c>
      <c r="U73" s="19" t="s">
        <v>57</v>
      </c>
      <c r="V73" s="20" t="s">
        <v>61</v>
      </c>
      <c r="W73" t="s">
        <v>499</v>
      </c>
      <c r="X73" s="19" t="s">
        <v>57</v>
      </c>
      <c r="Y73" s="20" t="s">
        <v>61</v>
      </c>
      <c r="Z73" t="s">
        <v>389</v>
      </c>
      <c r="AA73" s="19" t="s">
        <v>57</v>
      </c>
      <c r="AB73" s="20" t="s">
        <v>61</v>
      </c>
    </row>
    <row r="74" spans="1:28" x14ac:dyDescent="0.2">
      <c r="A74" s="19" t="s">
        <v>462</v>
      </c>
      <c r="B74">
        <v>17</v>
      </c>
      <c r="C74" s="20" t="s">
        <v>50</v>
      </c>
      <c r="D74" s="28">
        <v>275</v>
      </c>
      <c r="E74" t="s">
        <v>244</v>
      </c>
      <c r="F74" s="19" t="s">
        <v>57</v>
      </c>
      <c r="G74" s="20" t="s">
        <v>61</v>
      </c>
      <c r="H74" t="s">
        <v>480</v>
      </c>
      <c r="I74" s="19" t="s">
        <v>57</v>
      </c>
      <c r="J74" s="20" t="s">
        <v>61</v>
      </c>
      <c r="T74" t="s">
        <v>492</v>
      </c>
      <c r="U74" s="19" t="s">
        <v>57</v>
      </c>
      <c r="V74" s="20" t="s">
        <v>61</v>
      </c>
      <c r="W74"/>
      <c r="Y74" s="20"/>
      <c r="Z74"/>
      <c r="AB74" s="20"/>
    </row>
    <row r="75" spans="1:28" x14ac:dyDescent="0.2">
      <c r="A75" s="19" t="s">
        <v>462</v>
      </c>
      <c r="B75">
        <v>19</v>
      </c>
      <c r="C75" s="20" t="s">
        <v>50</v>
      </c>
      <c r="D75" s="28">
        <v>250</v>
      </c>
      <c r="E75" t="s">
        <v>245</v>
      </c>
      <c r="F75" s="19" t="s">
        <v>57</v>
      </c>
      <c r="G75" s="20" t="s">
        <v>61</v>
      </c>
      <c r="H75" t="s">
        <v>481</v>
      </c>
      <c r="I75" s="19" t="s">
        <v>57</v>
      </c>
      <c r="J75" s="20" t="s">
        <v>61</v>
      </c>
      <c r="T75" t="s">
        <v>493</v>
      </c>
      <c r="U75" s="19" t="s">
        <v>57</v>
      </c>
      <c r="V75" s="20" t="s">
        <v>61</v>
      </c>
      <c r="W75"/>
      <c r="Y75" s="20"/>
      <c r="Z75" t="s">
        <v>501</v>
      </c>
      <c r="AA75" s="19" t="s">
        <v>57</v>
      </c>
      <c r="AB75" s="20" t="s">
        <v>61</v>
      </c>
    </row>
    <row r="76" spans="1:28" x14ac:dyDescent="0.2">
      <c r="A76" s="19" t="s">
        <v>462</v>
      </c>
      <c r="B76">
        <v>19</v>
      </c>
      <c r="C76" s="20" t="s">
        <v>50</v>
      </c>
      <c r="D76" s="28">
        <v>250</v>
      </c>
      <c r="E76" t="s">
        <v>246</v>
      </c>
      <c r="F76" s="19" t="s">
        <v>57</v>
      </c>
      <c r="G76" s="20" t="s">
        <v>61</v>
      </c>
      <c r="H76"/>
      <c r="J76" s="20"/>
      <c r="T76"/>
      <c r="V76" s="20"/>
      <c r="W76"/>
      <c r="Y76" s="20"/>
      <c r="Z76"/>
      <c r="AB76" s="20"/>
    </row>
    <row r="77" spans="1:28" x14ac:dyDescent="0.2">
      <c r="A77" s="19" t="s">
        <v>462</v>
      </c>
      <c r="B77">
        <v>21</v>
      </c>
      <c r="C77" s="20" t="s">
        <v>50</v>
      </c>
      <c r="D77" s="28">
        <v>225</v>
      </c>
      <c r="E77" t="s">
        <v>247</v>
      </c>
      <c r="F77" s="19" t="s">
        <v>57</v>
      </c>
      <c r="G77" s="20" t="s">
        <v>61</v>
      </c>
      <c r="H77" t="s">
        <v>482</v>
      </c>
      <c r="I77" s="19" t="s">
        <v>57</v>
      </c>
      <c r="J77" s="20" t="s">
        <v>61</v>
      </c>
      <c r="T77" t="s">
        <v>494</v>
      </c>
      <c r="U77" s="19" t="s">
        <v>57</v>
      </c>
      <c r="V77" s="20" t="s">
        <v>61</v>
      </c>
      <c r="W77" t="s">
        <v>500</v>
      </c>
      <c r="Y77" s="20"/>
      <c r="Z77" t="s">
        <v>502</v>
      </c>
      <c r="AA77" s="19" t="s">
        <v>57</v>
      </c>
      <c r="AB77" s="20" t="s">
        <v>61</v>
      </c>
    </row>
    <row r="78" spans="1:28" x14ac:dyDescent="0.2">
      <c r="A78" s="19" t="s">
        <v>462</v>
      </c>
      <c r="B78">
        <v>23</v>
      </c>
      <c r="C78" s="20" t="s">
        <v>50</v>
      </c>
      <c r="D78" s="28">
        <v>200</v>
      </c>
      <c r="E78"/>
      <c r="G78" s="20"/>
      <c r="H78" t="s">
        <v>483</v>
      </c>
      <c r="I78" s="19" t="s">
        <v>57</v>
      </c>
      <c r="J78" s="20" t="s">
        <v>61</v>
      </c>
      <c r="T78" t="s">
        <v>495</v>
      </c>
      <c r="U78" s="19" t="s">
        <v>57</v>
      </c>
      <c r="V78" s="20" t="s">
        <v>61</v>
      </c>
      <c r="W78"/>
      <c r="Y78" s="20"/>
      <c r="Z78"/>
      <c r="AB78" s="20"/>
    </row>
    <row r="79" spans="1:28" x14ac:dyDescent="0.2">
      <c r="A79" s="19" t="s">
        <v>464</v>
      </c>
      <c r="B79">
        <v>1</v>
      </c>
      <c r="C79" s="20" t="s">
        <v>51</v>
      </c>
      <c r="D79" s="28">
        <v>560</v>
      </c>
      <c r="E79" t="s">
        <v>238</v>
      </c>
      <c r="F79" s="19" t="s">
        <v>57</v>
      </c>
      <c r="G79" s="20" t="s">
        <v>61</v>
      </c>
      <c r="J79" s="20"/>
      <c r="V79" s="20"/>
      <c r="W79"/>
      <c r="Y79" s="20"/>
      <c r="Z79"/>
      <c r="AB79" s="20"/>
    </row>
    <row r="80" spans="1:28" x14ac:dyDescent="0.2">
      <c r="A80" s="19" t="s">
        <v>464</v>
      </c>
      <c r="B80">
        <v>2</v>
      </c>
      <c r="C80" s="20" t="s">
        <v>50</v>
      </c>
      <c r="D80" s="28">
        <v>560</v>
      </c>
      <c r="E80" t="s">
        <v>239</v>
      </c>
      <c r="F80" s="19" t="s">
        <v>57</v>
      </c>
      <c r="G80" s="20" t="s">
        <v>61</v>
      </c>
      <c r="H80"/>
      <c r="J80" s="20"/>
      <c r="T80"/>
      <c r="V80" s="20"/>
      <c r="W80" t="s">
        <v>503</v>
      </c>
      <c r="X80" s="19" t="s">
        <v>57</v>
      </c>
      <c r="Y80" s="20" t="s">
        <v>61</v>
      </c>
      <c r="Z80"/>
      <c r="AB80" s="20"/>
    </row>
    <row r="81" spans="1:29" x14ac:dyDescent="0.2">
      <c r="A81" s="19" t="s">
        <v>464</v>
      </c>
      <c r="B81">
        <v>3</v>
      </c>
      <c r="C81" s="20" t="s">
        <v>50</v>
      </c>
      <c r="D81" s="28">
        <v>525</v>
      </c>
      <c r="E81"/>
      <c r="G81" s="20"/>
      <c r="H81"/>
      <c r="J81" s="20"/>
      <c r="T81"/>
      <c r="V81" s="20"/>
      <c r="W81"/>
      <c r="Y81" s="20"/>
      <c r="Z81" t="s">
        <v>387</v>
      </c>
      <c r="AA81" s="19" t="s">
        <v>57</v>
      </c>
      <c r="AB81" s="20" t="s">
        <v>61</v>
      </c>
    </row>
    <row r="82" spans="1:29" x14ac:dyDescent="0.2">
      <c r="A82" s="19" t="s">
        <v>464</v>
      </c>
      <c r="B82">
        <v>5</v>
      </c>
      <c r="C82" s="20" t="s">
        <v>50</v>
      </c>
      <c r="D82" s="28">
        <v>500</v>
      </c>
      <c r="E82" t="s">
        <v>240</v>
      </c>
      <c r="F82" s="19" t="s">
        <v>57</v>
      </c>
      <c r="G82" s="20" t="s">
        <v>61</v>
      </c>
      <c r="H82"/>
      <c r="J82" s="20"/>
      <c r="T82"/>
      <c r="V82" s="20"/>
      <c r="W82" t="s">
        <v>504</v>
      </c>
      <c r="X82" s="19" t="s">
        <v>57</v>
      </c>
      <c r="Y82" s="20" t="s">
        <v>61</v>
      </c>
      <c r="Z82"/>
      <c r="AB82" s="20"/>
    </row>
    <row r="83" spans="1:29" x14ac:dyDescent="0.2">
      <c r="A83" s="19" t="s">
        <v>464</v>
      </c>
      <c r="B83">
        <v>7</v>
      </c>
      <c r="C83" s="20" t="s">
        <v>50</v>
      </c>
      <c r="D83" s="28">
        <v>450</v>
      </c>
      <c r="E83" t="s">
        <v>241</v>
      </c>
      <c r="F83" s="19" t="s">
        <v>57</v>
      </c>
      <c r="G83" s="20" t="s">
        <v>61</v>
      </c>
      <c r="H83"/>
      <c r="J83" s="20"/>
      <c r="T83"/>
      <c r="V83" s="20"/>
      <c r="W83"/>
      <c r="Y83" s="20"/>
      <c r="Z83" t="s">
        <v>391</v>
      </c>
      <c r="AA83" s="19" t="s">
        <v>57</v>
      </c>
      <c r="AB83" s="20" t="s">
        <v>61</v>
      </c>
    </row>
    <row r="84" spans="1:29" x14ac:dyDescent="0.2">
      <c r="A84" s="19" t="s">
        <v>464</v>
      </c>
      <c r="B84">
        <v>9</v>
      </c>
      <c r="C84" s="20" t="s">
        <v>50</v>
      </c>
      <c r="D84" s="28">
        <v>400</v>
      </c>
      <c r="E84" t="s">
        <v>242</v>
      </c>
      <c r="F84" s="19" t="s">
        <v>57</v>
      </c>
      <c r="G84" s="20" t="s">
        <v>61</v>
      </c>
      <c r="H84"/>
      <c r="J84" s="20"/>
      <c r="T84"/>
      <c r="V84" s="20"/>
      <c r="W84" t="s">
        <v>505</v>
      </c>
      <c r="X84" s="19" t="s">
        <v>57</v>
      </c>
      <c r="Y84" s="20" t="s">
        <v>61</v>
      </c>
      <c r="Z84"/>
      <c r="AB84" s="20"/>
    </row>
    <row r="85" spans="1:29" x14ac:dyDescent="0.2">
      <c r="A85" s="19" t="s">
        <v>464</v>
      </c>
      <c r="B85">
        <v>11</v>
      </c>
      <c r="C85" s="20" t="s">
        <v>50</v>
      </c>
      <c r="D85" s="28">
        <v>350</v>
      </c>
      <c r="E85" t="s">
        <v>243</v>
      </c>
      <c r="F85" s="19" t="s">
        <v>57</v>
      </c>
      <c r="G85" s="20" t="s">
        <v>61</v>
      </c>
      <c r="J85" s="20"/>
      <c r="V85" s="20"/>
      <c r="W85"/>
      <c r="Y85" s="20"/>
      <c r="Z85" t="s">
        <v>350</v>
      </c>
      <c r="AA85" s="19" t="s">
        <v>57</v>
      </c>
      <c r="AB85" s="20" t="s">
        <v>61</v>
      </c>
    </row>
    <row r="86" spans="1:29" x14ac:dyDescent="0.2">
      <c r="A86" s="19" t="s">
        <v>464</v>
      </c>
      <c r="B86">
        <v>15</v>
      </c>
      <c r="C86" s="20" t="s">
        <v>50</v>
      </c>
      <c r="D86" s="28">
        <v>300</v>
      </c>
      <c r="E86" t="s">
        <v>244</v>
      </c>
      <c r="F86" s="19" t="s">
        <v>57</v>
      </c>
      <c r="G86" s="20" t="s">
        <v>61</v>
      </c>
      <c r="J86" s="20"/>
      <c r="V86" s="20"/>
      <c r="W86" t="s">
        <v>506</v>
      </c>
      <c r="X86" s="19" t="s">
        <v>57</v>
      </c>
      <c r="Y86" s="20" t="s">
        <v>61</v>
      </c>
      <c r="Z86" t="s">
        <v>388</v>
      </c>
      <c r="AA86" s="19" t="s">
        <v>57</v>
      </c>
      <c r="AB86" s="20" t="s">
        <v>61</v>
      </c>
    </row>
    <row r="87" spans="1:29" x14ac:dyDescent="0.2">
      <c r="A87" s="19" t="s">
        <v>464</v>
      </c>
      <c r="B87">
        <v>17</v>
      </c>
      <c r="C87" s="20" t="s">
        <v>50</v>
      </c>
      <c r="D87" s="28">
        <v>275</v>
      </c>
      <c r="E87" t="s">
        <v>245</v>
      </c>
      <c r="F87" s="19" t="s">
        <v>57</v>
      </c>
      <c r="G87" s="20" t="s">
        <v>61</v>
      </c>
      <c r="J87" s="20"/>
      <c r="V87" s="20"/>
      <c r="W87"/>
      <c r="Y87" s="20"/>
      <c r="Z87"/>
      <c r="AB87" s="20"/>
    </row>
    <row r="88" spans="1:29" x14ac:dyDescent="0.2">
      <c r="A88" s="19" t="s">
        <v>464</v>
      </c>
      <c r="B88">
        <v>19</v>
      </c>
      <c r="C88" s="20" t="s">
        <v>50</v>
      </c>
      <c r="D88" s="28">
        <v>250</v>
      </c>
      <c r="E88" t="s">
        <v>247</v>
      </c>
      <c r="F88" s="19" t="s">
        <v>57</v>
      </c>
      <c r="G88" s="20" t="s">
        <v>61</v>
      </c>
      <c r="J88" s="20"/>
      <c r="V88" s="20"/>
      <c r="W88" t="s">
        <v>507</v>
      </c>
      <c r="X88" s="19" t="s">
        <v>57</v>
      </c>
      <c r="Y88" s="20" t="s">
        <v>61</v>
      </c>
      <c r="Z88" t="s">
        <v>327</v>
      </c>
      <c r="AA88" s="19" t="s">
        <v>549</v>
      </c>
      <c r="AB88" s="20" t="s">
        <v>61</v>
      </c>
      <c r="AC88" s="19" t="s">
        <v>553</v>
      </c>
    </row>
    <row r="89" spans="1:29" x14ac:dyDescent="0.2">
      <c r="A89" s="19" t="s">
        <v>464</v>
      </c>
      <c r="B89">
        <v>23</v>
      </c>
      <c r="C89" s="20" t="s">
        <v>50</v>
      </c>
      <c r="D89" s="28">
        <v>200</v>
      </c>
      <c r="E89" t="s">
        <v>252</v>
      </c>
      <c r="F89" s="19" t="s">
        <v>57</v>
      </c>
      <c r="G89" s="20" t="s">
        <v>61</v>
      </c>
      <c r="J89" s="20"/>
      <c r="V89" s="20"/>
      <c r="W89"/>
      <c r="Y89" s="20"/>
      <c r="Z89" s="19"/>
      <c r="AB89" s="20"/>
    </row>
    <row r="90" spans="1:29" x14ac:dyDescent="0.2">
      <c r="A90" s="19" t="s">
        <v>464</v>
      </c>
      <c r="B90">
        <v>23</v>
      </c>
      <c r="C90" s="20" t="s">
        <v>50</v>
      </c>
      <c r="D90" s="28">
        <v>200</v>
      </c>
      <c r="E90" t="s">
        <v>253</v>
      </c>
      <c r="F90" s="19" t="s">
        <v>57</v>
      </c>
      <c r="G90" s="20" t="s">
        <v>61</v>
      </c>
      <c r="J90" s="20"/>
      <c r="V90" s="20"/>
      <c r="W90"/>
      <c r="Y90" s="20"/>
      <c r="Z90" t="s">
        <v>508</v>
      </c>
      <c r="AA90" s="19" t="s">
        <v>57</v>
      </c>
      <c r="AB90" s="20" t="s">
        <v>61</v>
      </c>
    </row>
    <row r="91" spans="1:29" x14ac:dyDescent="0.2">
      <c r="A91" s="19" t="s">
        <v>466</v>
      </c>
      <c r="B91">
        <v>1</v>
      </c>
      <c r="C91" s="20" t="s">
        <v>50</v>
      </c>
      <c r="D91" s="28">
        <v>2890</v>
      </c>
      <c r="E91" t="s">
        <v>293</v>
      </c>
      <c r="F91" s="19" t="s">
        <v>57</v>
      </c>
      <c r="G91" s="20" t="s">
        <v>61</v>
      </c>
      <c r="J91" s="20"/>
      <c r="V91" s="20"/>
      <c r="W91" t="s">
        <v>509</v>
      </c>
      <c r="X91" s="19" t="s">
        <v>57</v>
      </c>
      <c r="Y91" s="20" t="s">
        <v>61</v>
      </c>
      <c r="Z91"/>
      <c r="AB91" s="20"/>
    </row>
    <row r="92" spans="1:29" x14ac:dyDescent="0.2">
      <c r="A92" s="19" t="s">
        <v>466</v>
      </c>
      <c r="B92">
        <v>3</v>
      </c>
      <c r="C92" s="20" t="s">
        <v>50</v>
      </c>
      <c r="D92" s="28">
        <v>2750</v>
      </c>
      <c r="E92"/>
      <c r="G92" s="20"/>
      <c r="H92"/>
      <c r="J92" s="20"/>
      <c r="T92"/>
      <c r="V92" s="20"/>
      <c r="W92"/>
      <c r="Y92" s="20"/>
      <c r="Z92" t="s">
        <v>514</v>
      </c>
      <c r="AA92" s="19" t="s">
        <v>57</v>
      </c>
      <c r="AB92" s="20" t="s">
        <v>61</v>
      </c>
    </row>
    <row r="93" spans="1:29" x14ac:dyDescent="0.2">
      <c r="A93" s="19" t="s">
        <v>466</v>
      </c>
      <c r="B93">
        <v>5</v>
      </c>
      <c r="C93" s="20" t="s">
        <v>50</v>
      </c>
      <c r="D93" s="28">
        <v>2500</v>
      </c>
      <c r="E93" t="s">
        <v>295</v>
      </c>
      <c r="F93" s="19" t="s">
        <v>57</v>
      </c>
      <c r="G93" s="20" t="s">
        <v>61</v>
      </c>
      <c r="H93"/>
      <c r="J93" s="20"/>
      <c r="T93"/>
      <c r="V93" s="20"/>
      <c r="W93"/>
      <c r="Y93" s="20"/>
      <c r="Z93"/>
      <c r="AB93" s="20"/>
    </row>
    <row r="94" spans="1:29" x14ac:dyDescent="0.2">
      <c r="A94" s="19" t="s">
        <v>466</v>
      </c>
      <c r="B94">
        <v>7</v>
      </c>
      <c r="C94" s="20" t="s">
        <v>50</v>
      </c>
      <c r="D94" s="28">
        <v>2000</v>
      </c>
      <c r="E94" t="s">
        <v>299</v>
      </c>
      <c r="F94" s="19" t="s">
        <v>57</v>
      </c>
      <c r="G94" s="20" t="s">
        <v>61</v>
      </c>
      <c r="H94"/>
      <c r="J94" s="20"/>
      <c r="T94"/>
      <c r="V94" s="20"/>
      <c r="W94" t="s">
        <v>510</v>
      </c>
      <c r="X94" s="19" t="s">
        <v>57</v>
      </c>
      <c r="Y94" s="20" t="s">
        <v>61</v>
      </c>
      <c r="Z94" t="s">
        <v>352</v>
      </c>
      <c r="AA94" s="19" t="s">
        <v>57</v>
      </c>
      <c r="AB94" s="20" t="s">
        <v>61</v>
      </c>
    </row>
    <row r="95" spans="1:29" x14ac:dyDescent="0.2">
      <c r="A95" s="19" t="s">
        <v>466</v>
      </c>
      <c r="B95">
        <v>9</v>
      </c>
      <c r="C95" s="20" t="s">
        <v>50</v>
      </c>
      <c r="D95" s="28">
        <v>1750</v>
      </c>
      <c r="E95" t="s">
        <v>298</v>
      </c>
      <c r="F95" s="19" t="s">
        <v>57</v>
      </c>
      <c r="G95" s="20" t="s">
        <v>61</v>
      </c>
      <c r="H95"/>
      <c r="J95" s="20"/>
      <c r="T95"/>
      <c r="V95" s="20"/>
      <c r="W95"/>
      <c r="Y95" s="20"/>
      <c r="Z95"/>
      <c r="AB95" s="20"/>
    </row>
    <row r="96" spans="1:29" x14ac:dyDescent="0.2">
      <c r="A96" s="19" t="s">
        <v>466</v>
      </c>
      <c r="B96">
        <v>11</v>
      </c>
      <c r="C96" s="20" t="s">
        <v>50</v>
      </c>
      <c r="D96" s="28">
        <v>1500</v>
      </c>
      <c r="E96" t="s">
        <v>302</v>
      </c>
      <c r="F96" s="19" t="s">
        <v>57</v>
      </c>
      <c r="G96" s="20" t="s">
        <v>61</v>
      </c>
      <c r="H96"/>
      <c r="J96" s="20"/>
      <c r="T96"/>
      <c r="V96" s="20"/>
      <c r="W96"/>
      <c r="Y96" s="20"/>
      <c r="Z96" t="s">
        <v>515</v>
      </c>
      <c r="AA96" s="19" t="s">
        <v>57</v>
      </c>
      <c r="AB96" s="20" t="s">
        <v>61</v>
      </c>
    </row>
    <row r="97" spans="1:28" x14ac:dyDescent="0.2">
      <c r="A97" s="19" t="s">
        <v>466</v>
      </c>
      <c r="B97">
        <v>13</v>
      </c>
      <c r="C97" s="20" t="s">
        <v>50</v>
      </c>
      <c r="D97" s="28">
        <v>1250</v>
      </c>
      <c r="E97" t="s">
        <v>306</v>
      </c>
      <c r="F97" s="19" t="s">
        <v>57</v>
      </c>
      <c r="G97" s="20" t="s">
        <v>61</v>
      </c>
      <c r="J97" s="20"/>
      <c r="V97" s="20"/>
      <c r="W97"/>
      <c r="Y97" s="20"/>
      <c r="Z97"/>
      <c r="AB97" s="20"/>
    </row>
    <row r="98" spans="1:28" x14ac:dyDescent="0.2">
      <c r="A98" s="19" t="s">
        <v>466</v>
      </c>
      <c r="B98">
        <v>15</v>
      </c>
      <c r="C98" s="20" t="s">
        <v>50</v>
      </c>
      <c r="D98" s="28">
        <v>1000</v>
      </c>
      <c r="E98" t="s">
        <v>307</v>
      </c>
      <c r="F98" s="19" t="s">
        <v>57</v>
      </c>
      <c r="G98" s="20" t="s">
        <v>61</v>
      </c>
      <c r="J98" s="20"/>
      <c r="V98" s="20"/>
      <c r="W98" t="s">
        <v>511</v>
      </c>
      <c r="X98" s="19" t="s">
        <v>57</v>
      </c>
      <c r="Y98" s="20" t="s">
        <v>61</v>
      </c>
      <c r="Z98" t="s">
        <v>355</v>
      </c>
      <c r="AA98" s="19" t="s">
        <v>57</v>
      </c>
      <c r="AB98" s="20" t="s">
        <v>61</v>
      </c>
    </row>
    <row r="99" spans="1:28" x14ac:dyDescent="0.2">
      <c r="A99" s="19" t="s">
        <v>466</v>
      </c>
      <c r="B99">
        <v>17</v>
      </c>
      <c r="C99" s="20" t="s">
        <v>50</v>
      </c>
      <c r="D99" s="28">
        <v>750</v>
      </c>
      <c r="E99" t="s">
        <v>311</v>
      </c>
      <c r="F99" s="19" t="s">
        <v>57</v>
      </c>
      <c r="G99" s="20" t="s">
        <v>61</v>
      </c>
      <c r="J99" s="20"/>
      <c r="V99" s="20"/>
      <c r="W99"/>
      <c r="Y99" s="20"/>
      <c r="Z99"/>
      <c r="AB99" s="20"/>
    </row>
    <row r="100" spans="1:28" x14ac:dyDescent="0.2">
      <c r="A100" s="19" t="s">
        <v>466</v>
      </c>
      <c r="B100">
        <v>19</v>
      </c>
      <c r="C100" s="20" t="s">
        <v>50</v>
      </c>
      <c r="D100" s="28">
        <v>500</v>
      </c>
      <c r="E100"/>
      <c r="G100" s="20"/>
      <c r="J100" s="20"/>
      <c r="V100" s="20"/>
      <c r="W100" t="s">
        <v>512</v>
      </c>
      <c r="X100" s="19" t="s">
        <v>57</v>
      </c>
      <c r="Y100" s="20" t="s">
        <v>61</v>
      </c>
      <c r="Z100" t="s">
        <v>516</v>
      </c>
      <c r="AA100" s="19" t="s">
        <v>57</v>
      </c>
      <c r="AB100" s="20" t="s">
        <v>61</v>
      </c>
    </row>
    <row r="101" spans="1:28" x14ac:dyDescent="0.2">
      <c r="A101" s="19" t="s">
        <v>466</v>
      </c>
      <c r="B101">
        <v>21</v>
      </c>
      <c r="C101" s="20" t="s">
        <v>50</v>
      </c>
      <c r="D101" s="28">
        <v>300</v>
      </c>
      <c r="E101" t="s">
        <v>308</v>
      </c>
      <c r="F101" s="19" t="s">
        <v>57</v>
      </c>
      <c r="G101" s="20" t="s">
        <v>61</v>
      </c>
      <c r="J101" s="20"/>
      <c r="V101" s="20"/>
      <c r="W101"/>
      <c r="Y101" s="20"/>
      <c r="Z101"/>
      <c r="AB101" s="20"/>
    </row>
    <row r="102" spans="1:28" x14ac:dyDescent="0.2">
      <c r="A102" s="19" t="s">
        <v>466</v>
      </c>
      <c r="B102">
        <v>23</v>
      </c>
      <c r="C102" s="20" t="s">
        <v>50</v>
      </c>
      <c r="D102" s="28">
        <v>200</v>
      </c>
      <c r="E102" t="s">
        <v>309</v>
      </c>
      <c r="F102" s="19" t="s">
        <v>57</v>
      </c>
      <c r="G102" s="20" t="s">
        <v>61</v>
      </c>
      <c r="J102" s="20"/>
      <c r="V102" s="20"/>
      <c r="W102" t="s">
        <v>513</v>
      </c>
      <c r="X102" s="19" t="s">
        <v>57</v>
      </c>
      <c r="Y102" s="20" t="s">
        <v>61</v>
      </c>
      <c r="Z102" t="s">
        <v>517</v>
      </c>
      <c r="AA102" s="19" t="s">
        <v>57</v>
      </c>
      <c r="AB102" s="20" t="s">
        <v>61</v>
      </c>
    </row>
    <row r="103" spans="1:28" x14ac:dyDescent="0.2">
      <c r="A103" s="19" t="s">
        <v>466</v>
      </c>
      <c r="B103">
        <v>23</v>
      </c>
      <c r="C103" s="20" t="s">
        <v>50</v>
      </c>
      <c r="D103" s="28">
        <v>200</v>
      </c>
      <c r="E103" t="s">
        <v>310</v>
      </c>
      <c r="F103" s="19" t="s">
        <v>57</v>
      </c>
      <c r="G103" s="20" t="s">
        <v>61</v>
      </c>
      <c r="H103"/>
      <c r="J103" s="20"/>
      <c r="T103"/>
      <c r="V103" s="20"/>
      <c r="W103"/>
      <c r="Y103" s="20"/>
      <c r="Z103"/>
      <c r="AB103" s="20"/>
    </row>
    <row r="104" spans="1:28" x14ac:dyDescent="0.2">
      <c r="A104" s="19" t="s">
        <v>468</v>
      </c>
      <c r="B104">
        <v>1</v>
      </c>
      <c r="C104" s="20" t="s">
        <v>50</v>
      </c>
      <c r="D104" s="28">
        <v>2590</v>
      </c>
      <c r="E104" t="s">
        <v>293</v>
      </c>
      <c r="F104" s="19" t="s">
        <v>57</v>
      </c>
      <c r="G104" s="20" t="s">
        <v>61</v>
      </c>
      <c r="J104" s="20"/>
      <c r="V104" s="20"/>
      <c r="W104" t="s">
        <v>518</v>
      </c>
      <c r="X104" s="19" t="s">
        <v>57</v>
      </c>
      <c r="Y104" s="20" t="s">
        <v>61</v>
      </c>
      <c r="Z104" t="s">
        <v>349</v>
      </c>
      <c r="AA104" s="19" t="s">
        <v>57</v>
      </c>
      <c r="AB104" s="20" t="s">
        <v>61</v>
      </c>
    </row>
    <row r="105" spans="1:28" x14ac:dyDescent="0.2">
      <c r="A105" s="19" t="s">
        <v>468</v>
      </c>
      <c r="B105">
        <v>5</v>
      </c>
      <c r="C105" s="20" t="s">
        <v>50</v>
      </c>
      <c r="D105" s="28">
        <v>2250</v>
      </c>
      <c r="E105" t="s">
        <v>294</v>
      </c>
      <c r="F105" s="19" t="s">
        <v>57</v>
      </c>
      <c r="G105" s="20" t="s">
        <v>61</v>
      </c>
      <c r="H105"/>
      <c r="J105" s="20"/>
      <c r="T105"/>
      <c r="V105" s="20"/>
      <c r="W105" t="s">
        <v>519</v>
      </c>
      <c r="X105" s="19" t="s">
        <v>57</v>
      </c>
      <c r="Y105" s="20" t="s">
        <v>61</v>
      </c>
      <c r="Z105" t="s">
        <v>390</v>
      </c>
      <c r="AA105" s="19" t="s">
        <v>57</v>
      </c>
      <c r="AB105" s="20" t="s">
        <v>61</v>
      </c>
    </row>
    <row r="106" spans="1:28" x14ac:dyDescent="0.2">
      <c r="A106" s="19" t="s">
        <v>468</v>
      </c>
      <c r="B106">
        <v>7</v>
      </c>
      <c r="C106" s="20" t="s">
        <v>50</v>
      </c>
      <c r="D106" s="28">
        <v>2000</v>
      </c>
      <c r="E106" t="s">
        <v>295</v>
      </c>
      <c r="F106" s="19" t="s">
        <v>57</v>
      </c>
      <c r="G106" s="20" t="s">
        <v>61</v>
      </c>
      <c r="H106"/>
      <c r="J106" s="20"/>
      <c r="T106"/>
      <c r="V106" s="20"/>
      <c r="W106"/>
      <c r="Y106" s="20"/>
      <c r="Z106"/>
      <c r="AB106" s="20"/>
    </row>
    <row r="107" spans="1:28" x14ac:dyDescent="0.2">
      <c r="A107" s="19" t="s">
        <v>468</v>
      </c>
      <c r="B107">
        <v>9</v>
      </c>
      <c r="C107" s="20" t="s">
        <v>50</v>
      </c>
      <c r="D107" s="28">
        <v>1750</v>
      </c>
      <c r="E107" t="s">
        <v>296</v>
      </c>
      <c r="F107" s="19" t="s">
        <v>57</v>
      </c>
      <c r="G107" s="20" t="s">
        <v>61</v>
      </c>
      <c r="H107"/>
      <c r="J107" s="20"/>
      <c r="T107"/>
      <c r="V107" s="20"/>
      <c r="W107" t="s">
        <v>520</v>
      </c>
      <c r="X107" s="19" t="s">
        <v>57</v>
      </c>
      <c r="Y107" s="20" t="s">
        <v>61</v>
      </c>
      <c r="Z107" t="s">
        <v>350</v>
      </c>
      <c r="AA107" s="19" t="s">
        <v>57</v>
      </c>
      <c r="AB107" s="20" t="s">
        <v>61</v>
      </c>
    </row>
    <row r="108" spans="1:28" x14ac:dyDescent="0.2">
      <c r="A108" s="19" t="s">
        <v>468</v>
      </c>
      <c r="B108">
        <v>11</v>
      </c>
      <c r="C108" s="20" t="s">
        <v>50</v>
      </c>
      <c r="D108" s="28">
        <v>1500</v>
      </c>
      <c r="E108" t="s">
        <v>297</v>
      </c>
      <c r="F108" s="19" t="s">
        <v>57</v>
      </c>
      <c r="G108" s="20" t="s">
        <v>61</v>
      </c>
      <c r="H108"/>
      <c r="J108" s="20"/>
      <c r="T108"/>
      <c r="V108" s="20"/>
      <c r="W108"/>
      <c r="Y108" s="20"/>
      <c r="Z108"/>
      <c r="AB108" s="20"/>
    </row>
    <row r="109" spans="1:28" x14ac:dyDescent="0.2">
      <c r="A109" s="19" t="s">
        <v>468</v>
      </c>
      <c r="B109">
        <v>13</v>
      </c>
      <c r="C109" s="20" t="s">
        <v>50</v>
      </c>
      <c r="D109" s="28">
        <v>1250</v>
      </c>
      <c r="E109" t="s">
        <v>298</v>
      </c>
      <c r="F109" s="19" t="s">
        <v>57</v>
      </c>
      <c r="G109" s="20" t="s">
        <v>61</v>
      </c>
      <c r="H109"/>
      <c r="J109" s="20"/>
      <c r="T109"/>
      <c r="V109" s="20"/>
      <c r="W109"/>
      <c r="Y109" s="20"/>
      <c r="Z109" t="s">
        <v>515</v>
      </c>
      <c r="AA109" s="19" t="s">
        <v>57</v>
      </c>
      <c r="AB109" s="20" t="s">
        <v>61</v>
      </c>
    </row>
    <row r="110" spans="1:28" x14ac:dyDescent="0.2">
      <c r="A110" s="19" t="s">
        <v>468</v>
      </c>
      <c r="B110">
        <v>17</v>
      </c>
      <c r="C110" s="20" t="s">
        <v>50</v>
      </c>
      <c r="D110" s="28">
        <v>750</v>
      </c>
      <c r="E110" t="s">
        <v>299</v>
      </c>
      <c r="F110" s="19" t="s">
        <v>57</v>
      </c>
      <c r="G110" s="20" t="s">
        <v>61</v>
      </c>
      <c r="H110"/>
      <c r="J110" s="20"/>
      <c r="T110"/>
      <c r="V110" s="20"/>
      <c r="W110" t="s">
        <v>521</v>
      </c>
      <c r="X110" s="19" t="s">
        <v>57</v>
      </c>
      <c r="Y110" s="20" t="s">
        <v>61</v>
      </c>
      <c r="Z110" t="s">
        <v>387</v>
      </c>
      <c r="AA110" s="19" t="s">
        <v>57</v>
      </c>
      <c r="AB110" s="20" t="s">
        <v>61</v>
      </c>
    </row>
    <row r="111" spans="1:28" x14ac:dyDescent="0.2">
      <c r="A111" s="19" t="s">
        <v>468</v>
      </c>
      <c r="B111">
        <v>19</v>
      </c>
      <c r="C111" s="20" t="s">
        <v>50</v>
      </c>
      <c r="D111" s="28">
        <v>500</v>
      </c>
      <c r="E111" t="s">
        <v>300</v>
      </c>
      <c r="F111" s="19" t="s">
        <v>57</v>
      </c>
      <c r="G111" s="20" t="s">
        <v>61</v>
      </c>
      <c r="H111"/>
      <c r="J111" s="20"/>
      <c r="T111"/>
      <c r="V111" s="20"/>
      <c r="W111"/>
      <c r="Y111" s="20"/>
      <c r="Z111"/>
      <c r="AB111" s="20"/>
    </row>
    <row r="112" spans="1:28" x14ac:dyDescent="0.2">
      <c r="A112" s="19" t="s">
        <v>468</v>
      </c>
      <c r="B112">
        <v>21</v>
      </c>
      <c r="C112" s="20" t="s">
        <v>50</v>
      </c>
      <c r="D112" s="28">
        <v>300</v>
      </c>
      <c r="E112" t="s">
        <v>301</v>
      </c>
      <c r="F112" s="19" t="s">
        <v>57</v>
      </c>
      <c r="G112" s="20" t="s">
        <v>61</v>
      </c>
      <c r="H112"/>
      <c r="J112" s="20"/>
      <c r="T112"/>
      <c r="V112" s="20"/>
      <c r="W112"/>
      <c r="Y112" s="20"/>
      <c r="Z112"/>
      <c r="AB112" s="20"/>
    </row>
    <row r="113" spans="1:28" x14ac:dyDescent="0.2">
      <c r="A113" s="19" t="s">
        <v>468</v>
      </c>
      <c r="B113">
        <v>21</v>
      </c>
      <c r="C113" s="20" t="s">
        <v>50</v>
      </c>
      <c r="D113" s="28">
        <v>300</v>
      </c>
      <c r="E113" t="s">
        <v>302</v>
      </c>
      <c r="F113" s="19" t="s">
        <v>57</v>
      </c>
      <c r="G113" s="20" t="s">
        <v>61</v>
      </c>
      <c r="H113"/>
      <c r="J113" s="20"/>
      <c r="T113"/>
      <c r="V113" s="20"/>
      <c r="W113"/>
      <c r="Y113" s="20"/>
      <c r="Z113"/>
      <c r="AB113" s="20"/>
    </row>
    <row r="114" spans="1:28" x14ac:dyDescent="0.2">
      <c r="A114" s="19" t="s">
        <v>468</v>
      </c>
      <c r="B114">
        <v>23</v>
      </c>
      <c r="C114" s="20" t="s">
        <v>50</v>
      </c>
      <c r="D114" s="28">
        <v>200</v>
      </c>
      <c r="E114" t="s">
        <v>303</v>
      </c>
      <c r="F114" s="19" t="s">
        <v>57</v>
      </c>
      <c r="G114" s="20" t="s">
        <v>61</v>
      </c>
      <c r="H114"/>
      <c r="J114" s="20"/>
      <c r="T114"/>
      <c r="V114" s="20"/>
      <c r="W114" t="s">
        <v>522</v>
      </c>
      <c r="X114" s="19" t="s">
        <v>57</v>
      </c>
      <c r="Y114" s="20" t="s">
        <v>61</v>
      </c>
      <c r="Z114" t="s">
        <v>351</v>
      </c>
      <c r="AA114" s="19" t="s">
        <v>57</v>
      </c>
      <c r="AB114" s="20" t="s">
        <v>61</v>
      </c>
    </row>
    <row r="115" spans="1:28" x14ac:dyDescent="0.2">
      <c r="A115" s="19" t="s">
        <v>471</v>
      </c>
      <c r="B115" s="19" t="s">
        <v>134</v>
      </c>
      <c r="C115" s="20" t="s">
        <v>50</v>
      </c>
      <c r="D115" s="28">
        <v>2607</v>
      </c>
      <c r="E115"/>
      <c r="G115" s="20"/>
      <c r="H115"/>
      <c r="J115" s="20"/>
      <c r="T115"/>
      <c r="V115" s="20"/>
      <c r="W115" t="s">
        <v>523</v>
      </c>
      <c r="X115" s="19" t="s">
        <v>57</v>
      </c>
      <c r="Y115" s="20" t="s">
        <v>61</v>
      </c>
      <c r="Z115" t="s">
        <v>388</v>
      </c>
      <c r="AA115" s="19" t="s">
        <v>57</v>
      </c>
      <c r="AB115" s="20" t="s">
        <v>61</v>
      </c>
    </row>
    <row r="116" spans="1:28" x14ac:dyDescent="0.2">
      <c r="A116" s="19" t="s">
        <v>471</v>
      </c>
      <c r="B116" s="19" t="s">
        <v>136</v>
      </c>
      <c r="C116" s="20" t="s">
        <v>50</v>
      </c>
      <c r="D116" s="28">
        <v>2607</v>
      </c>
      <c r="E116" t="s">
        <v>293</v>
      </c>
      <c r="F116" s="19" t="s">
        <v>57</v>
      </c>
      <c r="G116" s="20" t="s">
        <v>61</v>
      </c>
      <c r="H116"/>
      <c r="J116" s="20"/>
      <c r="T116"/>
      <c r="V116" s="20"/>
      <c r="W116"/>
      <c r="Y116" s="20"/>
      <c r="Z116"/>
      <c r="AB116" s="20"/>
    </row>
    <row r="117" spans="1:28" x14ac:dyDescent="0.2">
      <c r="A117" s="19" t="s">
        <v>471</v>
      </c>
      <c r="B117" s="19" t="s">
        <v>136</v>
      </c>
      <c r="C117" s="20" t="s">
        <v>50</v>
      </c>
      <c r="D117" s="28">
        <v>2607</v>
      </c>
      <c r="E117" t="s">
        <v>294</v>
      </c>
      <c r="F117" s="19" t="s">
        <v>57</v>
      </c>
      <c r="G117" s="20" t="s">
        <v>61</v>
      </c>
      <c r="H117"/>
      <c r="J117" s="20"/>
      <c r="T117"/>
      <c r="V117" s="20"/>
      <c r="W117"/>
      <c r="Y117" s="20"/>
      <c r="Z117" s="30"/>
      <c r="AB117" s="20"/>
    </row>
    <row r="118" spans="1:28" x14ac:dyDescent="0.2">
      <c r="A118" s="19" t="s">
        <v>525</v>
      </c>
      <c r="B118" s="19" t="s">
        <v>137</v>
      </c>
      <c r="C118" s="20" t="s">
        <v>50</v>
      </c>
      <c r="D118" s="28">
        <v>1523</v>
      </c>
      <c r="E118"/>
      <c r="G118" s="20"/>
      <c r="J118" s="20"/>
      <c r="V118" s="20"/>
      <c r="W118" s="28" t="s">
        <v>527</v>
      </c>
      <c r="X118" s="19" t="s">
        <v>57</v>
      </c>
      <c r="Y118" s="20" t="s">
        <v>61</v>
      </c>
      <c r="Z118" s="30"/>
      <c r="AB118" s="20"/>
    </row>
    <row r="119" spans="1:28" x14ac:dyDescent="0.2">
      <c r="A119" t="s">
        <v>528</v>
      </c>
      <c r="B119">
        <v>3</v>
      </c>
      <c r="C119" s="20" t="s">
        <v>50</v>
      </c>
      <c r="D119" s="28">
        <v>525</v>
      </c>
      <c r="E119" t="s">
        <v>293</v>
      </c>
      <c r="F119" s="19" t="s">
        <v>57</v>
      </c>
      <c r="G119" s="20" t="s">
        <v>61</v>
      </c>
      <c r="H119"/>
      <c r="J119" s="20"/>
      <c r="T119"/>
      <c r="V119" s="20"/>
      <c r="W119" t="s">
        <v>530</v>
      </c>
      <c r="X119" s="19" t="s">
        <v>57</v>
      </c>
      <c r="Y119" s="20" t="s">
        <v>61</v>
      </c>
      <c r="Z119" t="s">
        <v>350</v>
      </c>
      <c r="AA119" s="19" t="s">
        <v>57</v>
      </c>
      <c r="AB119" s="20" t="s">
        <v>61</v>
      </c>
    </row>
    <row r="120" spans="1:28" x14ac:dyDescent="0.2">
      <c r="A120" t="s">
        <v>528</v>
      </c>
      <c r="B120">
        <v>5</v>
      </c>
      <c r="C120" s="20" t="s">
        <v>50</v>
      </c>
      <c r="D120" s="28">
        <v>500</v>
      </c>
      <c r="E120" t="s">
        <v>294</v>
      </c>
      <c r="F120" s="19" t="s">
        <v>57</v>
      </c>
      <c r="G120" s="20" t="s">
        <v>61</v>
      </c>
      <c r="J120" s="20"/>
      <c r="V120" s="20"/>
      <c r="W120"/>
      <c r="Y120" s="20"/>
      <c r="Z120"/>
      <c r="AB120" s="20"/>
    </row>
    <row r="121" spans="1:28" x14ac:dyDescent="0.2">
      <c r="A121" t="s">
        <v>528</v>
      </c>
      <c r="B121">
        <v>7</v>
      </c>
      <c r="C121" s="20" t="s">
        <v>50</v>
      </c>
      <c r="D121" s="28">
        <v>450</v>
      </c>
      <c r="E121" t="s">
        <v>295</v>
      </c>
      <c r="F121" s="19" t="s">
        <v>57</v>
      </c>
      <c r="G121" s="20" t="s">
        <v>61</v>
      </c>
      <c r="J121" s="20"/>
      <c r="T121"/>
      <c r="V121" s="20"/>
      <c r="W121" t="s">
        <v>531</v>
      </c>
      <c r="X121" s="19" t="s">
        <v>57</v>
      </c>
      <c r="Y121" s="20" t="s">
        <v>61</v>
      </c>
      <c r="Z121" t="s">
        <v>351</v>
      </c>
      <c r="AA121" s="19" t="s">
        <v>57</v>
      </c>
      <c r="AB121" s="20" t="s">
        <v>61</v>
      </c>
    </row>
    <row r="122" spans="1:28" x14ac:dyDescent="0.2">
      <c r="A122" t="s">
        <v>528</v>
      </c>
      <c r="B122">
        <v>9</v>
      </c>
      <c r="C122" s="20" t="s">
        <v>50</v>
      </c>
      <c r="D122" s="28">
        <v>400</v>
      </c>
      <c r="E122" t="s">
        <v>296</v>
      </c>
      <c r="F122" s="19" t="s">
        <v>57</v>
      </c>
      <c r="G122" s="20" t="s">
        <v>61</v>
      </c>
      <c r="J122" s="20"/>
      <c r="V122" s="20"/>
      <c r="W122"/>
      <c r="Y122" s="20"/>
      <c r="Z122"/>
      <c r="AB122" s="20"/>
    </row>
    <row r="123" spans="1:28" x14ac:dyDescent="0.2">
      <c r="A123" t="s">
        <v>528</v>
      </c>
      <c r="B123">
        <v>11</v>
      </c>
      <c r="C123" s="20" t="s">
        <v>50</v>
      </c>
      <c r="D123" s="28">
        <v>350</v>
      </c>
      <c r="E123" t="s">
        <v>297</v>
      </c>
      <c r="F123" s="19" t="s">
        <v>57</v>
      </c>
      <c r="G123" s="20" t="s">
        <v>61</v>
      </c>
      <c r="H123"/>
      <c r="J123" s="20"/>
      <c r="V123" s="20"/>
      <c r="W123" t="s">
        <v>532</v>
      </c>
      <c r="X123" s="19" t="s">
        <v>57</v>
      </c>
      <c r="Y123" s="20" t="s">
        <v>61</v>
      </c>
      <c r="Z123" t="s">
        <v>515</v>
      </c>
      <c r="AA123" s="19" t="s">
        <v>57</v>
      </c>
      <c r="AB123" s="20" t="s">
        <v>61</v>
      </c>
    </row>
    <row r="124" spans="1:28" x14ac:dyDescent="0.2">
      <c r="A124" t="s">
        <v>528</v>
      </c>
      <c r="B124">
        <v>13</v>
      </c>
      <c r="C124" s="20" t="s">
        <v>50</v>
      </c>
      <c r="D124" s="28">
        <v>325</v>
      </c>
      <c r="E124" t="s">
        <v>298</v>
      </c>
      <c r="F124" s="19" t="s">
        <v>57</v>
      </c>
      <c r="G124" s="20" t="s">
        <v>61</v>
      </c>
      <c r="H124"/>
      <c r="J124" s="20"/>
      <c r="T124"/>
      <c r="V124" s="20"/>
      <c r="W124"/>
      <c r="Y124" s="20"/>
      <c r="Z124"/>
      <c r="AB124" s="20"/>
    </row>
    <row r="125" spans="1:28" x14ac:dyDescent="0.2">
      <c r="A125" t="s">
        <v>528</v>
      </c>
      <c r="B125">
        <v>15</v>
      </c>
      <c r="C125" s="20" t="s">
        <v>50</v>
      </c>
      <c r="D125" s="28">
        <v>300</v>
      </c>
      <c r="E125"/>
      <c r="G125" s="20"/>
      <c r="H125"/>
      <c r="J125" s="20"/>
      <c r="T125"/>
      <c r="V125" s="20"/>
      <c r="W125" t="s">
        <v>533</v>
      </c>
      <c r="X125" s="19" t="s">
        <v>57</v>
      </c>
      <c r="Y125" s="20" t="s">
        <v>61</v>
      </c>
      <c r="Z125" t="s">
        <v>349</v>
      </c>
      <c r="AA125" s="19" t="s">
        <v>57</v>
      </c>
      <c r="AB125" s="20" t="s">
        <v>61</v>
      </c>
    </row>
    <row r="126" spans="1:28" x14ac:dyDescent="0.2">
      <c r="A126" t="s">
        <v>528</v>
      </c>
      <c r="B126">
        <v>17</v>
      </c>
      <c r="C126" s="20" t="s">
        <v>50</v>
      </c>
      <c r="D126" s="28">
        <v>275</v>
      </c>
      <c r="E126" t="s">
        <v>299</v>
      </c>
      <c r="F126" s="19" t="s">
        <v>57</v>
      </c>
      <c r="G126" s="20" t="s">
        <v>61</v>
      </c>
      <c r="H126"/>
      <c r="J126" s="20"/>
      <c r="T126"/>
      <c r="V126" s="20"/>
      <c r="W126"/>
      <c r="Y126" s="20"/>
      <c r="Z126"/>
      <c r="AB126" s="20"/>
    </row>
    <row r="127" spans="1:28" x14ac:dyDescent="0.2">
      <c r="A127" t="s">
        <v>528</v>
      </c>
      <c r="B127">
        <v>19</v>
      </c>
      <c r="C127" s="20" t="s">
        <v>50</v>
      </c>
      <c r="D127" s="28">
        <v>250</v>
      </c>
      <c r="E127" t="s">
        <v>300</v>
      </c>
      <c r="F127" s="19" t="s">
        <v>57</v>
      </c>
      <c r="G127" s="20" t="s">
        <v>61</v>
      </c>
      <c r="J127" s="20"/>
      <c r="V127" s="20"/>
      <c r="W127"/>
      <c r="Y127" s="20"/>
      <c r="Z127" t="s">
        <v>390</v>
      </c>
      <c r="AA127" s="19" t="s">
        <v>57</v>
      </c>
      <c r="AB127" s="20" t="s">
        <v>61</v>
      </c>
    </row>
    <row r="128" spans="1:28" x14ac:dyDescent="0.2">
      <c r="A128" t="s">
        <v>528</v>
      </c>
      <c r="B128">
        <v>21</v>
      </c>
      <c r="C128" s="20" t="s">
        <v>50</v>
      </c>
      <c r="D128" s="28">
        <v>225</v>
      </c>
      <c r="E128" t="s">
        <v>301</v>
      </c>
      <c r="F128" s="19" t="s">
        <v>57</v>
      </c>
      <c r="G128" s="20" t="s">
        <v>61</v>
      </c>
      <c r="H128"/>
      <c r="J128" s="20"/>
      <c r="T128"/>
      <c r="V128" s="20"/>
      <c r="W128" t="s">
        <v>534</v>
      </c>
      <c r="X128" s="19" t="s">
        <v>57</v>
      </c>
      <c r="Y128" s="20" t="s">
        <v>61</v>
      </c>
      <c r="Z128" t="s">
        <v>387</v>
      </c>
      <c r="AA128" s="19" t="s">
        <v>57</v>
      </c>
      <c r="AB128" s="20" t="s">
        <v>61</v>
      </c>
    </row>
    <row r="129" spans="1:28" x14ac:dyDescent="0.2">
      <c r="A129" t="s">
        <v>528</v>
      </c>
      <c r="B129">
        <v>23</v>
      </c>
      <c r="C129" s="20" t="s">
        <v>50</v>
      </c>
      <c r="D129" s="28">
        <v>200</v>
      </c>
      <c r="E129" t="s">
        <v>302</v>
      </c>
      <c r="F129" s="19" t="s">
        <v>57</v>
      </c>
      <c r="G129" s="20" t="s">
        <v>61</v>
      </c>
      <c r="H129"/>
      <c r="J129" s="20"/>
      <c r="V129" s="20"/>
      <c r="W129"/>
      <c r="Y129" s="20"/>
      <c r="Z129"/>
      <c r="AB129" s="20"/>
    </row>
    <row r="130" spans="1:28" x14ac:dyDescent="0.2">
      <c r="A130" t="s">
        <v>528</v>
      </c>
      <c r="B130">
        <v>23</v>
      </c>
      <c r="C130" s="20" t="s">
        <v>50</v>
      </c>
      <c r="D130" s="28">
        <v>200</v>
      </c>
      <c r="E130" t="s">
        <v>303</v>
      </c>
      <c r="F130" s="19" t="s">
        <v>57</v>
      </c>
      <c r="G130" s="20" t="s">
        <v>61</v>
      </c>
      <c r="H130"/>
      <c r="J130" s="20"/>
      <c r="T130"/>
      <c r="V130" s="20"/>
      <c r="W130"/>
      <c r="Y130" s="20"/>
      <c r="Z130"/>
      <c r="AB130" s="20"/>
    </row>
    <row r="131" spans="1:28" x14ac:dyDescent="0.2">
      <c r="A131" s="19" t="s">
        <v>526</v>
      </c>
      <c r="B131" s="19" t="s">
        <v>134</v>
      </c>
      <c r="C131" s="20" t="s">
        <v>50</v>
      </c>
      <c r="D131" s="28">
        <v>1518</v>
      </c>
      <c r="E131"/>
      <c r="G131" s="20"/>
      <c r="J131" s="20"/>
      <c r="T131"/>
      <c r="V131" s="20"/>
      <c r="W131" t="s">
        <v>535</v>
      </c>
      <c r="X131" s="19" t="s">
        <v>57</v>
      </c>
      <c r="Y131" s="20" t="s">
        <v>61</v>
      </c>
      <c r="Z131"/>
      <c r="AB131" s="20"/>
    </row>
    <row r="132" spans="1:28" x14ac:dyDescent="0.2">
      <c r="C132" s="20"/>
      <c r="G132" s="20"/>
      <c r="J132" s="20"/>
      <c r="V132" s="20"/>
      <c r="Y132" s="20"/>
      <c r="Z132" s="30"/>
      <c r="AB132" s="20"/>
    </row>
    <row r="133" spans="1:28" x14ac:dyDescent="0.2">
      <c r="C133" s="20"/>
      <c r="G133" s="20"/>
      <c r="J133" s="20"/>
      <c r="V133" s="20"/>
      <c r="Y133" s="20"/>
      <c r="Z133" s="30"/>
      <c r="AB133" s="20"/>
    </row>
    <row r="134" spans="1:28" x14ac:dyDescent="0.2">
      <c r="C134" s="20"/>
      <c r="G134" s="20"/>
      <c r="J134" s="20"/>
      <c r="V134" s="20"/>
      <c r="Y134" s="20"/>
      <c r="Z134" s="30"/>
      <c r="AB134" s="20"/>
    </row>
    <row r="135" spans="1:28" x14ac:dyDescent="0.2">
      <c r="C135" s="20"/>
      <c r="G135" s="20"/>
      <c r="J135" s="20"/>
      <c r="V135" s="20"/>
      <c r="Y135" s="20"/>
      <c r="Z135" s="30"/>
      <c r="AB135" s="20"/>
    </row>
    <row r="136" spans="1:28" x14ac:dyDescent="0.2">
      <c r="C136" s="20"/>
      <c r="G136" s="20"/>
      <c r="J136" s="20"/>
      <c r="V136" s="20"/>
      <c r="Y136" s="20"/>
      <c r="Z136" s="30"/>
      <c r="AB136" s="20"/>
    </row>
    <row r="137" spans="1:28" x14ac:dyDescent="0.2">
      <c r="C137" s="20"/>
      <c r="G137" s="20"/>
      <c r="J137" s="20"/>
      <c r="V137" s="20"/>
      <c r="Y137" s="20"/>
      <c r="Z137" s="30"/>
      <c r="AB137" s="20"/>
    </row>
    <row r="138" spans="1:28" x14ac:dyDescent="0.2">
      <c r="C138" s="20"/>
      <c r="G138" s="20"/>
      <c r="J138" s="20"/>
      <c r="V138" s="20"/>
      <c r="Y138" s="20"/>
      <c r="Z138" s="30"/>
      <c r="AB138" s="20"/>
    </row>
    <row r="139" spans="1:28" x14ac:dyDescent="0.2">
      <c r="C139" s="20"/>
      <c r="G139" s="20"/>
      <c r="J139" s="20"/>
      <c r="V139" s="20"/>
      <c r="Y139" s="20"/>
      <c r="Z139" s="30"/>
      <c r="AB139" s="20"/>
    </row>
    <row r="140" spans="1:28" x14ac:dyDescent="0.2">
      <c r="C140" s="20"/>
      <c r="G140" s="20"/>
      <c r="J140" s="20"/>
      <c r="V140" s="20"/>
      <c r="Y140" s="20"/>
      <c r="Z140" s="30"/>
      <c r="AB140" s="20"/>
    </row>
    <row r="141" spans="1:28" x14ac:dyDescent="0.2">
      <c r="C141" s="20"/>
      <c r="G141" s="20"/>
      <c r="J141" s="20"/>
      <c r="V141" s="20"/>
      <c r="Y141" s="20"/>
      <c r="Z141" s="30"/>
      <c r="AB141" s="20"/>
    </row>
    <row r="142" spans="1:28" x14ac:dyDescent="0.2">
      <c r="C142" s="20"/>
      <c r="G142" s="20"/>
      <c r="J142" s="20"/>
      <c r="V142" s="20"/>
      <c r="Y142" s="20"/>
      <c r="Z142" s="30"/>
      <c r="AB142" s="20"/>
    </row>
    <row r="143" spans="1:28" x14ac:dyDescent="0.2">
      <c r="C143" s="20"/>
      <c r="G143" s="20"/>
      <c r="J143" s="20"/>
      <c r="V143" s="20"/>
      <c r="Y143" s="20"/>
      <c r="Z143" s="30"/>
      <c r="AB143" s="20"/>
    </row>
    <row r="144" spans="1:28" x14ac:dyDescent="0.2">
      <c r="C144" s="20"/>
      <c r="G144" s="20"/>
      <c r="J144" s="20"/>
      <c r="V144" s="20"/>
      <c r="Y144" s="20"/>
      <c r="Z144" s="30"/>
      <c r="AB144" s="20"/>
    </row>
    <row r="145" spans="3:28" x14ac:dyDescent="0.2">
      <c r="C145" s="20"/>
      <c r="G145" s="20"/>
      <c r="J145" s="20"/>
      <c r="V145" s="20"/>
      <c r="Y145" s="20"/>
      <c r="Z145" s="30"/>
      <c r="AB145" s="20"/>
    </row>
    <row r="146" spans="3:28" x14ac:dyDescent="0.2">
      <c r="C146" s="20"/>
      <c r="G146" s="20"/>
      <c r="J146" s="20"/>
      <c r="V146" s="20"/>
      <c r="Y146" s="20"/>
      <c r="Z146" s="30"/>
      <c r="AB146" s="20"/>
    </row>
    <row r="147" spans="3:28" x14ac:dyDescent="0.2">
      <c r="C147" s="20"/>
      <c r="G147" s="20"/>
      <c r="J147" s="20"/>
      <c r="V147" s="20"/>
      <c r="Y147" s="20"/>
      <c r="Z147" s="30"/>
      <c r="AB147" s="20"/>
    </row>
    <row r="148" spans="3:28" x14ac:dyDescent="0.2">
      <c r="C148" s="20"/>
      <c r="G148" s="20"/>
      <c r="J148" s="20"/>
      <c r="V148" s="20"/>
      <c r="Y148" s="20"/>
      <c r="Z148" s="30"/>
      <c r="AB148" s="20"/>
    </row>
    <row r="149" spans="3:28" x14ac:dyDescent="0.2">
      <c r="C149" s="20"/>
      <c r="G149" s="20"/>
      <c r="J149" s="20"/>
      <c r="V149" s="20"/>
      <c r="Y149" s="20"/>
      <c r="Z149" s="30"/>
      <c r="AB149" s="20"/>
    </row>
    <row r="150" spans="3:28" x14ac:dyDescent="0.2">
      <c r="C150" s="20"/>
      <c r="G150" s="20"/>
      <c r="J150" s="20"/>
      <c r="V150" s="20"/>
      <c r="Y150" s="20"/>
      <c r="Z150" s="30"/>
      <c r="AB150" s="20"/>
    </row>
    <row r="151" spans="3:28" x14ac:dyDescent="0.2">
      <c r="C151" s="20"/>
      <c r="G151" s="20"/>
      <c r="J151" s="20"/>
      <c r="V151" s="20"/>
      <c r="Y151" s="20"/>
      <c r="Z151" s="30"/>
      <c r="AB151" s="20"/>
    </row>
    <row r="152" spans="3:28" x14ac:dyDescent="0.2">
      <c r="C152" s="20"/>
      <c r="G152" s="20"/>
      <c r="J152" s="20"/>
      <c r="V152" s="20"/>
      <c r="Y152" s="20"/>
      <c r="Z152" s="30"/>
      <c r="AB152" s="2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3000000}">
          <x14:formula1>
            <xm:f>_NiskinBottles_!$A:$A</xm:f>
          </x14:formula1>
          <xm:sqref>B2:B152</xm:sqref>
        </x14:dataValidation>
        <x14:dataValidation type="list" allowBlank="1" showInputMessage="1" showErrorMessage="1" xr:uid="{00000000-0002-0000-0200-000000000000}">
          <x14:formula1>
            <xm:f>_Flags_!$G$2:$G$6</xm:f>
          </x14:formula1>
          <xm:sqref>J2:J152 M2:M152 G2:G152 Y2:Y152 V2:V152 P2:S152 AB2:AB152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L2:L152 X2:X152 I2:I152 U2:U152 F2:F152 O2:O152 AA2:AA152</xm:sqref>
        </x14:dataValidation>
        <x14:dataValidation type="list" allowBlank="1" showInputMessage="1" showErrorMessage="1" xr:uid="{00000000-0002-0000-0200-000002000000}">
          <x14:formula1>
            <xm:f>_Flags_!$E$2:$E$17</xm:f>
          </x14:formula1>
          <xm:sqref>C2:C152</xm:sqref>
        </x14:dataValidation>
        <x14:dataValidation type="list" allowBlank="1" showInputMessage="1" showErrorMessage="1" xr:uid="{00000000-0002-0000-0200-000004000000}">
          <x14:formula1>
            <xm:f>CastList!$D:$D</xm:f>
          </x14:formula1>
          <xm:sqref>A2:A152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118"/>
  <sheetViews>
    <sheetView topLeftCell="A4" workbookViewId="0">
      <selection activeCell="M48" sqref="M48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7" width="9.83203125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47" t="s">
        <v>8</v>
      </c>
      <c r="B1" s="47"/>
      <c r="C1" s="47"/>
      <c r="D1" s="47"/>
      <c r="E1" s="47"/>
      <c r="F1" s="47"/>
      <c r="G1" s="47"/>
      <c r="H1" s="47"/>
      <c r="I1" s="7"/>
      <c r="J1" s="7"/>
      <c r="N1" s="50" t="s">
        <v>123</v>
      </c>
      <c r="O1" s="50" t="s">
        <v>124</v>
      </c>
      <c r="P1" s="50" t="s">
        <v>125</v>
      </c>
      <c r="Q1" s="50" t="s">
        <v>126</v>
      </c>
      <c r="R1" s="50" t="s">
        <v>127</v>
      </c>
      <c r="S1" s="50" t="s">
        <v>128</v>
      </c>
      <c r="T1" s="50" t="s">
        <v>129</v>
      </c>
      <c r="U1" s="50" t="s">
        <v>130</v>
      </c>
      <c r="V1" s="49" t="s">
        <v>133</v>
      </c>
      <c r="W1" s="49" t="s">
        <v>132</v>
      </c>
    </row>
    <row r="2" spans="1:23" x14ac:dyDescent="0.2">
      <c r="A2" s="48" t="s">
        <v>1</v>
      </c>
      <c r="B2" s="48"/>
      <c r="C2" s="15"/>
      <c r="D2" s="51" t="s">
        <v>317</v>
      </c>
      <c r="E2" s="51"/>
      <c r="F2" s="51"/>
      <c r="G2" s="51"/>
      <c r="H2" s="51"/>
      <c r="M2" t="s">
        <v>122</v>
      </c>
      <c r="N2" s="50"/>
      <c r="O2" s="50"/>
      <c r="P2" s="50"/>
      <c r="Q2" s="50"/>
      <c r="R2" s="50"/>
      <c r="S2" s="50"/>
      <c r="T2" s="50"/>
      <c r="U2" s="50"/>
      <c r="V2" s="49"/>
      <c r="W2" s="49"/>
    </row>
    <row r="3" spans="1:23" x14ac:dyDescent="0.2">
      <c r="A3" s="54" t="s">
        <v>3</v>
      </c>
      <c r="B3" s="55"/>
      <c r="D3" s="6">
        <v>0.01</v>
      </c>
      <c r="E3" s="5"/>
      <c r="F3" s="5"/>
      <c r="G3" s="5"/>
      <c r="H3" s="5"/>
    </row>
    <row r="4" spans="1:23" x14ac:dyDescent="0.2">
      <c r="A4" s="54" t="s">
        <v>2</v>
      </c>
      <c r="B4" s="55"/>
      <c r="D4" s="6">
        <v>10</v>
      </c>
      <c r="E4" s="5"/>
      <c r="F4" s="5"/>
      <c r="G4" s="5"/>
      <c r="H4" s="5"/>
      <c r="M4">
        <v>1</v>
      </c>
      <c r="N4" s="28">
        <v>0.6</v>
      </c>
      <c r="O4" s="28">
        <v>0.59199999999999997</v>
      </c>
      <c r="P4" s="28">
        <v>0.54600000000000004</v>
      </c>
      <c r="Q4" s="28">
        <v>0.54600000000000004</v>
      </c>
      <c r="R4" s="28">
        <v>5.8000000000000003E-2</v>
      </c>
      <c r="S4" s="28">
        <v>5.6000000000000001E-2</v>
      </c>
      <c r="T4" s="28"/>
      <c r="U4" s="28"/>
      <c r="V4" s="16">
        <f t="shared" ref="V4" si="0">AVERAGE(N4:Q4)</f>
        <v>0.57099999999999995</v>
      </c>
      <c r="W4" s="16">
        <f t="shared" ref="W4" si="1">AVERAGE((R4-S4))</f>
        <v>2.0000000000000018E-3</v>
      </c>
    </row>
    <row r="5" spans="1:23" ht="13" customHeight="1" x14ac:dyDescent="0.2">
      <c r="A5" s="1"/>
      <c r="B5" s="1"/>
      <c r="C5" s="1"/>
      <c r="M5">
        <v>2</v>
      </c>
      <c r="N5" s="28">
        <v>0.51400000000000001</v>
      </c>
      <c r="O5" s="28">
        <v>0.53600000000000003</v>
      </c>
      <c r="P5" s="28">
        <v>0.53800000000000003</v>
      </c>
      <c r="Q5" s="28">
        <v>0.53600000000000003</v>
      </c>
      <c r="R5" s="28">
        <v>5.6000000000000001E-2</v>
      </c>
      <c r="S5" s="28">
        <v>5.3999999999999999E-2</v>
      </c>
      <c r="T5" s="28"/>
      <c r="U5" s="28"/>
      <c r="V5" s="16">
        <f t="shared" ref="V5" si="2">AVERAGE(N5:Q5)</f>
        <v>0.53100000000000003</v>
      </c>
      <c r="W5" s="16">
        <f t="shared" ref="W5" si="3">AVERAGE((R5-S5))</f>
        <v>2.0000000000000018E-3</v>
      </c>
    </row>
    <row r="6" spans="1:23" x14ac:dyDescent="0.2">
      <c r="A6" s="46" t="s">
        <v>4</v>
      </c>
      <c r="B6" s="46"/>
      <c r="C6" s="1"/>
      <c r="D6" s="51"/>
      <c r="E6" s="51"/>
      <c r="F6" s="51"/>
      <c r="G6" s="51"/>
      <c r="H6" s="51"/>
      <c r="M6">
        <v>3</v>
      </c>
      <c r="N6" s="28">
        <v>0.51800000000000002</v>
      </c>
      <c r="O6" s="28">
        <v>0.50800000000000001</v>
      </c>
      <c r="P6" s="28">
        <v>0.51800000000000002</v>
      </c>
      <c r="Q6" s="28"/>
      <c r="R6" s="28">
        <v>5.3999999999999999E-2</v>
      </c>
      <c r="S6" s="28">
        <v>5.3999999999999999E-2</v>
      </c>
      <c r="T6" s="28"/>
      <c r="U6" s="28"/>
      <c r="V6" s="16">
        <f t="shared" ref="V6" si="4">AVERAGE(N6:Q6)</f>
        <v>0.51466666666666672</v>
      </c>
      <c r="W6" s="16">
        <f t="shared" ref="W6" si="5">AVERAGE((R6-S6))</f>
        <v>0</v>
      </c>
    </row>
    <row r="7" spans="1:23" ht="13" customHeight="1" x14ac:dyDescent="0.2">
      <c r="A7" s="1"/>
      <c r="B7" s="1"/>
      <c r="C7" s="1"/>
      <c r="M7">
        <v>4</v>
      </c>
      <c r="N7" s="28">
        <v>0.54</v>
      </c>
      <c r="O7" s="28">
        <v>0.53800000000000003</v>
      </c>
      <c r="P7" s="28">
        <v>0.53200000000000003</v>
      </c>
      <c r="Q7" s="28"/>
      <c r="R7" s="28">
        <v>6.0100000000000001E-2</v>
      </c>
      <c r="S7" s="28">
        <v>5.6000000000000001E-2</v>
      </c>
      <c r="T7" s="28">
        <v>5.6000000000000001E-2</v>
      </c>
      <c r="U7" s="28"/>
      <c r="V7" s="16">
        <f t="shared" ref="V7:V8" si="6">AVERAGE(N7:Q7)</f>
        <v>0.53666666666666674</v>
      </c>
      <c r="W7" s="16">
        <f t="shared" ref="W7:W8" si="7">AVERAGE((R7-S7))</f>
        <v>4.0999999999999995E-3</v>
      </c>
    </row>
    <row r="8" spans="1:23" ht="13" customHeight="1" x14ac:dyDescent="0.2">
      <c r="A8" s="1"/>
      <c r="B8" s="1"/>
      <c r="C8" s="1"/>
      <c r="M8">
        <v>5</v>
      </c>
      <c r="N8" s="28">
        <v>0.53200000000000003</v>
      </c>
      <c r="O8" s="28">
        <v>0.53400000000000003</v>
      </c>
      <c r="P8" s="28">
        <v>0.53400000000000003</v>
      </c>
      <c r="Q8" s="28"/>
      <c r="R8" s="28">
        <v>5.6000000000000001E-2</v>
      </c>
      <c r="S8" s="28">
        <v>5.7000000000000002E-2</v>
      </c>
      <c r="T8" s="28"/>
      <c r="U8" s="28"/>
      <c r="V8" s="16">
        <f t="shared" si="6"/>
        <v>0.53333333333333333</v>
      </c>
      <c r="W8" s="16">
        <f t="shared" si="7"/>
        <v>-1.0000000000000009E-3</v>
      </c>
    </row>
    <row r="9" spans="1:23" ht="15" customHeight="1" x14ac:dyDescent="0.2">
      <c r="A9" s="1"/>
      <c r="B9" s="1"/>
      <c r="C9" s="1"/>
      <c r="M9">
        <v>6</v>
      </c>
      <c r="N9" s="28">
        <v>0.498</v>
      </c>
      <c r="O9" s="28">
        <v>0.52600000000000002</v>
      </c>
      <c r="P9" s="28">
        <v>0.52400000000000002</v>
      </c>
      <c r="Q9" s="28"/>
      <c r="R9" s="28">
        <v>5.3999999999999999E-2</v>
      </c>
      <c r="S9" s="28">
        <v>5.3999999999999999E-2</v>
      </c>
      <c r="T9" s="28"/>
      <c r="U9" s="28"/>
      <c r="V9" s="16">
        <f>AVERAGE(O9:Q9)</f>
        <v>0.52500000000000002</v>
      </c>
      <c r="W9" s="16">
        <f>AVERAGE((R9-S9))</f>
        <v>0</v>
      </c>
    </row>
    <row r="10" spans="1:23" x14ac:dyDescent="0.2">
      <c r="A10" s="1"/>
      <c r="B10" s="1"/>
      <c r="C10" s="1"/>
      <c r="M10">
        <v>7</v>
      </c>
      <c r="N10" s="28">
        <v>0.498</v>
      </c>
      <c r="O10" s="28">
        <v>0.52800000000000002</v>
      </c>
      <c r="P10" s="28">
        <v>0.52800000000000002</v>
      </c>
      <c r="Q10" s="28"/>
      <c r="R10" s="28">
        <v>5.1999999999999998E-2</v>
      </c>
      <c r="S10" s="28">
        <v>5.3999999999999999E-2</v>
      </c>
      <c r="T10" s="28"/>
      <c r="U10" s="28"/>
      <c r="V10" s="16">
        <f>AVERAGE(O10:Q10)</f>
        <v>0.52800000000000002</v>
      </c>
      <c r="W10" s="16">
        <f>AVERAGE((R10-S10))</f>
        <v>-2.0000000000000018E-3</v>
      </c>
    </row>
    <row r="11" spans="1:23" x14ac:dyDescent="0.2">
      <c r="A11" s="1"/>
      <c r="B11" s="1"/>
      <c r="C11" s="1"/>
      <c r="M11">
        <v>8</v>
      </c>
      <c r="N11" s="28">
        <v>0.52200000000000002</v>
      </c>
      <c r="O11" s="28">
        <v>0.52200000000000002</v>
      </c>
      <c r="P11" s="28">
        <v>0.52400000000000002</v>
      </c>
      <c r="Q11" s="28"/>
      <c r="R11" s="28">
        <v>5.1999999999999998E-2</v>
      </c>
      <c r="S11" s="28">
        <v>5.1999999999999998E-2</v>
      </c>
      <c r="T11" s="28"/>
      <c r="U11" s="28"/>
      <c r="V11" s="16">
        <f>AVERAGE(O11:Q11)</f>
        <v>0.52300000000000002</v>
      </c>
      <c r="W11" s="16">
        <f>AVERAGE((R11-S11))</f>
        <v>0</v>
      </c>
    </row>
    <row r="12" spans="1:23" x14ac:dyDescent="0.2">
      <c r="A12" s="1"/>
      <c r="B12" s="1"/>
      <c r="C12" s="1"/>
    </row>
    <row r="13" spans="1:23" x14ac:dyDescent="0.2">
      <c r="A13" s="1"/>
      <c r="B13" s="1"/>
      <c r="C13" s="1"/>
    </row>
    <row r="15" spans="1:23" x14ac:dyDescent="0.2">
      <c r="A15" s="52" t="s">
        <v>5</v>
      </c>
      <c r="B15" s="52" t="s">
        <v>7</v>
      </c>
      <c r="C15" s="52" t="s">
        <v>19</v>
      </c>
      <c r="D15" s="52" t="s">
        <v>6</v>
      </c>
      <c r="E15" s="57" t="s">
        <v>11</v>
      </c>
      <c r="F15" s="57" t="s">
        <v>119</v>
      </c>
      <c r="G15" s="58" t="s">
        <v>120</v>
      </c>
      <c r="H15" s="58" t="s">
        <v>121</v>
      </c>
      <c r="I15" s="52" t="s">
        <v>131</v>
      </c>
      <c r="J15" s="52" t="s">
        <v>132</v>
      </c>
      <c r="K15" s="52" t="s">
        <v>152</v>
      </c>
      <c r="L15" s="45" t="s">
        <v>0</v>
      </c>
    </row>
    <row r="16" spans="1:23" x14ac:dyDescent="0.2">
      <c r="A16" s="52"/>
      <c r="B16" s="52"/>
      <c r="C16" s="52"/>
      <c r="D16" s="52"/>
      <c r="E16" s="57"/>
      <c r="F16" s="57"/>
      <c r="G16" s="59"/>
      <c r="H16" s="60"/>
      <c r="I16" s="56"/>
      <c r="J16" s="56"/>
      <c r="K16" s="53"/>
      <c r="L16" s="45"/>
    </row>
    <row r="17" spans="1:12" x14ac:dyDescent="0.2">
      <c r="A17" s="19" t="str" cm="1">
        <f t="array" ref="A17:E118">(_xlfn._xlws.FILTER((SampleList!A2:INDEX(SampleList!E:E, ROWS(SampleList!E:E))),(SampleList!E2:INDEX(SampleList!E:E, ROWS(SampleList!E:E)))&lt;&gt;""))</f>
        <v>CTD-001</v>
      </c>
      <c r="B17" s="19">
        <v>1</v>
      </c>
      <c r="C17" s="19" t="str">
        <v>No problems noted</v>
      </c>
      <c r="D17" s="19">
        <v>220</v>
      </c>
      <c r="E17" s="19" t="str">
        <v>OXY-361</v>
      </c>
      <c r="F17" s="19">
        <f>LOOKUP(E17,'++OxygenParameters++'!A:A,'++OxygenParameters++'!B:B)</f>
        <v>129.06</v>
      </c>
      <c r="G17" s="19">
        <v>0.246</v>
      </c>
      <c r="H17" s="28">
        <v>1</v>
      </c>
      <c r="I17" s="19">
        <f t="shared" ref="I17:I48" si="8">LOOKUP(H17,M:M,V:V)</f>
        <v>0.57099999999999995</v>
      </c>
      <c r="J17" s="19">
        <f t="shared" ref="J17:J48" si="9">LOOKUP(H17,M:M,W:W)</f>
        <v>2.0000000000000018E-3</v>
      </c>
      <c r="K17" s="3">
        <f>(((((G17-J17)*$D$4*$D$3*5598)/(I17-J17))-1000*0.0017)/(F17-2))</f>
        <v>1.8759234459343763</v>
      </c>
      <c r="L17" s="19"/>
    </row>
    <row r="18" spans="1:12" x14ac:dyDescent="0.2">
      <c r="A18" s="19" t="str">
        <v>CTD-001</v>
      </c>
      <c r="B18" s="19">
        <v>3</v>
      </c>
      <c r="C18" s="19" t="str">
        <v>No problems noted</v>
      </c>
      <c r="D18" s="19">
        <v>200</v>
      </c>
      <c r="E18" s="19" t="str">
        <v>OXY-362</v>
      </c>
      <c r="F18" s="19">
        <f>LOOKUP(E18,'++OxygenParameters++'!A:A,'++OxygenParameters++'!B:B)</f>
        <v>123.3</v>
      </c>
      <c r="G18" s="19">
        <v>0.23400000000000001</v>
      </c>
      <c r="H18" s="28">
        <v>1</v>
      </c>
      <c r="I18" s="19">
        <f t="shared" si="8"/>
        <v>0.57099999999999995</v>
      </c>
      <c r="J18" s="19">
        <f t="shared" si="9"/>
        <v>2.0000000000000018E-3</v>
      </c>
      <c r="K18" s="3">
        <f t="shared" ref="K18:K81" si="10">(((((G18-J18)*$D$4*$D$3*5598)/(I18-J18))-1000*0.0017)/(F18-2))</f>
        <v>1.8676740119125415</v>
      </c>
      <c r="L18" s="19"/>
    </row>
    <row r="19" spans="1:12" x14ac:dyDescent="0.2">
      <c r="A19" s="19" t="str">
        <v>CTD-001</v>
      </c>
      <c r="B19" s="19">
        <v>5</v>
      </c>
      <c r="C19" s="19" t="str">
        <v>No problems noted</v>
      </c>
      <c r="D19" s="19">
        <v>180</v>
      </c>
      <c r="E19" s="19" t="str">
        <v>OXY-363</v>
      </c>
      <c r="F19" s="19">
        <f>LOOKUP(E19,'++OxygenParameters++'!A:A,'++OxygenParameters++'!B:B)</f>
        <v>131.84</v>
      </c>
      <c r="G19" s="19">
        <v>0.26600000000000001</v>
      </c>
      <c r="H19" s="28">
        <v>1</v>
      </c>
      <c r="I19" s="19">
        <f t="shared" si="8"/>
        <v>0.57099999999999995</v>
      </c>
      <c r="J19" s="19">
        <f t="shared" si="9"/>
        <v>2.0000000000000018E-3</v>
      </c>
      <c r="K19" s="3">
        <f t="shared" si="10"/>
        <v>1.9873032863483733</v>
      </c>
      <c r="L19" s="19"/>
    </row>
    <row r="20" spans="1:12" x14ac:dyDescent="0.2">
      <c r="A20" s="19" t="str">
        <v>CTD-001</v>
      </c>
      <c r="B20" s="19">
        <v>7</v>
      </c>
      <c r="C20" s="19" t="str">
        <v>No problems noted</v>
      </c>
      <c r="D20" s="19">
        <v>160</v>
      </c>
      <c r="E20" s="19" t="str">
        <v>OXY-364A</v>
      </c>
      <c r="F20" s="19">
        <f>LOOKUP(E20,'++OxygenParameters++'!A:A,'++OxygenParameters++'!B:B)</f>
        <v>144.37</v>
      </c>
      <c r="G20" s="19">
        <v>0.316</v>
      </c>
      <c r="H20" s="28">
        <v>1</v>
      </c>
      <c r="I20" s="19">
        <f t="shared" si="8"/>
        <v>0.57099999999999995</v>
      </c>
      <c r="J20" s="19">
        <f t="shared" si="9"/>
        <v>2.0000000000000018E-3</v>
      </c>
      <c r="K20" s="3">
        <f t="shared" si="10"/>
        <v>2.1579196659907303</v>
      </c>
      <c r="L20" s="19"/>
    </row>
    <row r="21" spans="1:12" x14ac:dyDescent="0.2">
      <c r="A21" s="19" t="str">
        <v>CTD-001</v>
      </c>
      <c r="B21" s="19">
        <v>9</v>
      </c>
      <c r="C21" s="19" t="str">
        <v>No problems noted</v>
      </c>
      <c r="D21" s="19">
        <v>140</v>
      </c>
      <c r="E21" s="19" t="str">
        <v>OXY-365</v>
      </c>
      <c r="F21" s="19">
        <f>LOOKUP(E21,'++OxygenParameters++'!A:A,'++OxygenParameters++'!B:B)</f>
        <v>141.76</v>
      </c>
      <c r="G21" s="19">
        <v>0.34200000000000003</v>
      </c>
      <c r="H21" s="28">
        <v>1</v>
      </c>
      <c r="I21" s="19">
        <f t="shared" si="8"/>
        <v>0.57099999999999995</v>
      </c>
      <c r="J21" s="19">
        <f t="shared" si="9"/>
        <v>2.0000000000000018E-3</v>
      </c>
      <c r="K21" s="3">
        <f t="shared" si="10"/>
        <v>2.3812438194323593</v>
      </c>
      <c r="L21" s="19"/>
    </row>
    <row r="22" spans="1:12" x14ac:dyDescent="0.2">
      <c r="A22" s="19" t="str">
        <v>CTD-001</v>
      </c>
      <c r="B22" s="19">
        <v>11</v>
      </c>
      <c r="C22" s="19" t="str">
        <v>No problems noted</v>
      </c>
      <c r="D22" s="19">
        <v>120</v>
      </c>
      <c r="E22" s="19" t="str">
        <v>OXY-366A</v>
      </c>
      <c r="F22" s="19">
        <f>LOOKUP(E22,'++OxygenParameters++'!A:A,'++OxygenParameters++'!B:B)</f>
        <v>138.32</v>
      </c>
      <c r="G22" s="19">
        <v>0.36799999999999999</v>
      </c>
      <c r="H22" s="28">
        <v>1</v>
      </c>
      <c r="I22" s="19">
        <f t="shared" si="8"/>
        <v>0.57099999999999995</v>
      </c>
      <c r="J22" s="19">
        <f t="shared" si="9"/>
        <v>2.0000000000000018E-3</v>
      </c>
      <c r="K22" s="3">
        <f t="shared" si="10"/>
        <v>2.628977769664266</v>
      </c>
      <c r="L22" s="19"/>
    </row>
    <row r="23" spans="1:12" x14ac:dyDescent="0.2">
      <c r="A23" s="19" t="str">
        <v>CTD-001</v>
      </c>
      <c r="B23" s="19">
        <v>13</v>
      </c>
      <c r="C23" s="19" t="str">
        <v>No problems noted</v>
      </c>
      <c r="D23" s="19">
        <v>100</v>
      </c>
      <c r="E23" s="19" t="str">
        <v>OXY-367</v>
      </c>
      <c r="F23" s="19">
        <f>LOOKUP(E23,'++OxygenParameters++'!A:A,'++OxygenParameters++'!B:B)</f>
        <v>131.04</v>
      </c>
      <c r="G23" s="19">
        <v>0.34399999999999997</v>
      </c>
      <c r="H23" s="28">
        <v>1</v>
      </c>
      <c r="I23" s="19">
        <f t="shared" si="8"/>
        <v>0.57099999999999995</v>
      </c>
      <c r="J23" s="19">
        <f t="shared" si="9"/>
        <v>2.0000000000000018E-3</v>
      </c>
      <c r="K23" s="3">
        <f t="shared" si="10"/>
        <v>2.594314156616333</v>
      </c>
      <c r="L23" s="19"/>
    </row>
    <row r="24" spans="1:12" x14ac:dyDescent="0.2">
      <c r="A24" s="19" t="str">
        <v>CTD-001</v>
      </c>
      <c r="B24" s="19">
        <v>15</v>
      </c>
      <c r="C24" s="19" t="str">
        <v>No problems noted</v>
      </c>
      <c r="D24" s="19">
        <v>80</v>
      </c>
      <c r="E24" s="19" t="str">
        <v>OXY-368</v>
      </c>
      <c r="F24" s="19">
        <f>LOOKUP(E24,'++OxygenParameters++'!A:A,'++OxygenParameters++'!B:B)</f>
        <v>140.38</v>
      </c>
      <c r="G24" s="19">
        <v>0.46400000000000002</v>
      </c>
      <c r="H24" s="28">
        <v>1</v>
      </c>
      <c r="I24" s="19">
        <f t="shared" si="8"/>
        <v>0.57099999999999995</v>
      </c>
      <c r="J24" s="19">
        <f t="shared" si="9"/>
        <v>2.0000000000000018E-3</v>
      </c>
      <c r="K24" s="3">
        <f t="shared" si="10"/>
        <v>3.2723663298459127</v>
      </c>
      <c r="L24" s="19"/>
    </row>
    <row r="25" spans="1:12" x14ac:dyDescent="0.2">
      <c r="A25" s="19" t="str">
        <v>CTD-001</v>
      </c>
      <c r="B25" s="19">
        <v>17</v>
      </c>
      <c r="C25" s="19" t="str">
        <v>No problems noted</v>
      </c>
      <c r="D25" s="19">
        <v>60</v>
      </c>
      <c r="E25" s="19" t="str">
        <v>OXY-369</v>
      </c>
      <c r="F25" s="19">
        <f>LOOKUP(E25,'++OxygenParameters++'!A:A,'++OxygenParameters++'!B:B)</f>
        <v>142.38</v>
      </c>
      <c r="G25" s="19">
        <v>0.64</v>
      </c>
      <c r="H25" s="28">
        <v>1</v>
      </c>
      <c r="I25" s="19">
        <f t="shared" si="8"/>
        <v>0.57099999999999995</v>
      </c>
      <c r="J25" s="19">
        <f t="shared" si="9"/>
        <v>2.0000000000000018E-3</v>
      </c>
      <c r="K25" s="3">
        <f t="shared" si="10"/>
        <v>4.4592132677284928</v>
      </c>
      <c r="L25" s="19"/>
    </row>
    <row r="26" spans="1:12" x14ac:dyDescent="0.2">
      <c r="A26" s="19" t="str">
        <v>CTD-001</v>
      </c>
      <c r="B26" s="19">
        <v>19</v>
      </c>
      <c r="C26" s="19" t="str">
        <v>No problems noted</v>
      </c>
      <c r="D26" s="19">
        <v>40</v>
      </c>
      <c r="E26" s="19" t="str">
        <v>OXY-370</v>
      </c>
      <c r="F26" s="19">
        <f>LOOKUP(E26,'++OxygenParameters++'!A:A,'++OxygenParameters++'!B:B)</f>
        <v>132.83000000000001</v>
      </c>
      <c r="G26" s="19">
        <v>0.77200000000000002</v>
      </c>
      <c r="H26" s="28">
        <v>1</v>
      </c>
      <c r="I26" s="19">
        <f t="shared" si="8"/>
        <v>0.57099999999999995</v>
      </c>
      <c r="J26" s="19">
        <f t="shared" si="9"/>
        <v>2.0000000000000018E-3</v>
      </c>
      <c r="K26" s="3">
        <f t="shared" si="10"/>
        <v>5.7773453173848672</v>
      </c>
      <c r="L26" s="19"/>
    </row>
    <row r="27" spans="1:12" x14ac:dyDescent="0.2">
      <c r="A27" s="19" t="str">
        <v>CTD-001</v>
      </c>
      <c r="B27" s="19">
        <v>21</v>
      </c>
      <c r="C27" s="19" t="str">
        <v>No problems noted</v>
      </c>
      <c r="D27" s="19">
        <v>20</v>
      </c>
      <c r="E27" s="19" t="str">
        <v>OXY-371</v>
      </c>
      <c r="F27" s="19">
        <f>LOOKUP(E27,'++OxygenParameters++'!A:A,'++OxygenParameters++'!B:B)</f>
        <v>134.6</v>
      </c>
      <c r="G27" s="19">
        <v>0.92400000000000004</v>
      </c>
      <c r="H27" s="28">
        <v>1</v>
      </c>
      <c r="I27" s="19">
        <f t="shared" si="8"/>
        <v>0.57099999999999995</v>
      </c>
      <c r="J27" s="19">
        <f t="shared" si="9"/>
        <v>2.0000000000000018E-3</v>
      </c>
      <c r="K27" s="3">
        <f t="shared" si="10"/>
        <v>6.8279973068042965</v>
      </c>
      <c r="L27" s="19"/>
    </row>
    <row r="28" spans="1:12" x14ac:dyDescent="0.2">
      <c r="A28" s="19" t="str">
        <v>CTD-001</v>
      </c>
      <c r="B28" s="19">
        <v>21</v>
      </c>
      <c r="C28" s="19" t="str">
        <v>No problems noted</v>
      </c>
      <c r="D28" s="19">
        <v>20</v>
      </c>
      <c r="E28" s="19" t="str">
        <v>OXY-372</v>
      </c>
      <c r="F28" s="19">
        <f>LOOKUP(E28,'++OxygenParameters++'!A:A,'++OxygenParameters++'!B:B)</f>
        <v>131.53</v>
      </c>
      <c r="G28" s="19">
        <v>0.90200000000000002</v>
      </c>
      <c r="H28" s="28">
        <v>1</v>
      </c>
      <c r="I28" s="19">
        <f t="shared" si="8"/>
        <v>0.57099999999999995</v>
      </c>
      <c r="J28" s="19">
        <f t="shared" si="9"/>
        <v>2.0000000000000018E-3</v>
      </c>
      <c r="K28" s="3">
        <f t="shared" si="10"/>
        <v>6.8227295194726594</v>
      </c>
      <c r="L28" s="19"/>
    </row>
    <row r="29" spans="1:12" x14ac:dyDescent="0.2">
      <c r="A29" s="19" t="str">
        <v>CTD-001</v>
      </c>
      <c r="B29" s="19">
        <v>23</v>
      </c>
      <c r="C29" s="19" t="str">
        <v>No problems noted</v>
      </c>
      <c r="D29" s="19">
        <v>10</v>
      </c>
      <c r="E29" s="19" t="str">
        <v>OXY-373A</v>
      </c>
      <c r="F29" s="19">
        <f>LOOKUP(E29,'++OxygenParameters++'!A:A,'++OxygenParameters++'!B:B)</f>
        <v>140.75</v>
      </c>
      <c r="G29" s="19">
        <v>0.82599999999999996</v>
      </c>
      <c r="H29" s="28">
        <v>1</v>
      </c>
      <c r="I29" s="19">
        <f t="shared" si="8"/>
        <v>0.57099999999999995</v>
      </c>
      <c r="J29" s="19">
        <f t="shared" si="9"/>
        <v>2.0000000000000018E-3</v>
      </c>
      <c r="K29" s="3">
        <f t="shared" si="10"/>
        <v>5.8304647002010803</v>
      </c>
      <c r="L29" s="19"/>
    </row>
    <row r="30" spans="1:12" x14ac:dyDescent="0.2">
      <c r="A30" s="19" t="str">
        <v>CTD-002</v>
      </c>
      <c r="B30" s="19">
        <v>7</v>
      </c>
      <c r="C30" s="19" t="str">
        <v>No problems noted</v>
      </c>
      <c r="D30" s="19">
        <v>220</v>
      </c>
      <c r="E30" s="19" t="str">
        <v>OXY-361</v>
      </c>
      <c r="F30" s="19">
        <f>LOOKUP(E30,'++OxygenParameters++'!A:A,'++OxygenParameters++'!B:B)</f>
        <v>129.06</v>
      </c>
      <c r="G30" s="19">
        <v>0.24199999999999999</v>
      </c>
      <c r="H30" s="28">
        <v>2</v>
      </c>
      <c r="I30" s="19">
        <f t="shared" si="8"/>
        <v>0.53100000000000003</v>
      </c>
      <c r="J30" s="19">
        <f t="shared" si="9"/>
        <v>2.0000000000000018E-3</v>
      </c>
      <c r="K30" s="3">
        <f t="shared" si="10"/>
        <v>1.9854677709085833</v>
      </c>
      <c r="L30" s="19"/>
    </row>
    <row r="31" spans="1:12" x14ac:dyDescent="0.2">
      <c r="A31" s="19" t="str">
        <v>CTD-002</v>
      </c>
      <c r="B31" s="19">
        <v>8</v>
      </c>
      <c r="C31" s="19" t="str">
        <v>No problems noted</v>
      </c>
      <c r="D31" s="19">
        <v>200</v>
      </c>
      <c r="E31" s="19" t="str">
        <v>OXY-362</v>
      </c>
      <c r="F31" s="19">
        <f>LOOKUP(E31,'++OxygenParameters++'!A:A,'++OxygenParameters++'!B:B)</f>
        <v>123.3</v>
      </c>
      <c r="G31" s="19">
        <v>0.24399999999999999</v>
      </c>
      <c r="H31" s="28">
        <v>2</v>
      </c>
      <c r="I31" s="19">
        <f t="shared" si="8"/>
        <v>0.53100000000000003</v>
      </c>
      <c r="J31" s="19">
        <f t="shared" si="9"/>
        <v>2.0000000000000018E-3</v>
      </c>
      <c r="K31" s="3">
        <f t="shared" si="10"/>
        <v>2.0971968763100435</v>
      </c>
      <c r="L31" s="19"/>
    </row>
    <row r="32" spans="1:12" x14ac:dyDescent="0.2">
      <c r="A32" s="19" t="str">
        <v>CTD-002</v>
      </c>
      <c r="B32" s="19">
        <v>10</v>
      </c>
      <c r="C32" s="19" t="str">
        <v>No problems noted</v>
      </c>
      <c r="D32" s="19">
        <v>180</v>
      </c>
      <c r="E32" s="19" t="str">
        <v>OXY-363</v>
      </c>
      <c r="F32" s="19">
        <f>LOOKUP(E32,'++OxygenParameters++'!A:A,'++OxygenParameters++'!B:B)</f>
        <v>131.84</v>
      </c>
      <c r="G32" s="19">
        <v>0.26200000000000001</v>
      </c>
      <c r="H32" s="28">
        <v>2</v>
      </c>
      <c r="I32" s="19">
        <f t="shared" si="8"/>
        <v>0.53100000000000003</v>
      </c>
      <c r="J32" s="19">
        <f t="shared" si="9"/>
        <v>2.0000000000000018E-3</v>
      </c>
      <c r="K32" s="3">
        <f t="shared" si="10"/>
        <v>2.105961153876168</v>
      </c>
      <c r="L32" s="19"/>
    </row>
    <row r="33" spans="1:12" x14ac:dyDescent="0.2">
      <c r="A33" s="19" t="str">
        <v>CTD-002</v>
      </c>
      <c r="B33" s="19">
        <v>11</v>
      </c>
      <c r="C33" s="19" t="str">
        <v>No problems noted</v>
      </c>
      <c r="D33" s="19">
        <v>160</v>
      </c>
      <c r="E33" s="19" t="str">
        <v>OXY-364A</v>
      </c>
      <c r="F33" s="19">
        <f>LOOKUP(E33,'++OxygenParameters++'!A:A,'++OxygenParameters++'!B:B)</f>
        <v>144.37</v>
      </c>
      <c r="G33" s="19">
        <v>0.28999999999999998</v>
      </c>
      <c r="H33" s="28">
        <v>2</v>
      </c>
      <c r="I33" s="19">
        <f t="shared" si="8"/>
        <v>0.53100000000000003</v>
      </c>
      <c r="J33" s="19">
        <f t="shared" si="9"/>
        <v>2.0000000000000018E-3</v>
      </c>
      <c r="K33" s="3">
        <f t="shared" si="10"/>
        <v>2.1287366858605994</v>
      </c>
      <c r="L33" s="19"/>
    </row>
    <row r="34" spans="1:12" x14ac:dyDescent="0.2">
      <c r="A34" s="19" t="str">
        <v>CTD-002</v>
      </c>
      <c r="B34" s="19">
        <v>13</v>
      </c>
      <c r="C34" s="19" t="str">
        <v>No problems noted</v>
      </c>
      <c r="D34" s="19">
        <v>140</v>
      </c>
      <c r="E34" s="19" t="str">
        <v>OXY-365</v>
      </c>
      <c r="F34" s="19">
        <f>LOOKUP(E34,'++OxygenParameters++'!A:A,'++OxygenParameters++'!B:B)</f>
        <v>141.76</v>
      </c>
      <c r="G34" s="19">
        <v>0.316</v>
      </c>
      <c r="H34" s="28">
        <v>2</v>
      </c>
      <c r="I34" s="19">
        <f t="shared" si="8"/>
        <v>0.53100000000000003</v>
      </c>
      <c r="J34" s="19">
        <f t="shared" si="9"/>
        <v>2.0000000000000018E-3</v>
      </c>
      <c r="K34" s="3">
        <f t="shared" si="10"/>
        <v>2.365355191670734</v>
      </c>
      <c r="L34" s="19"/>
    </row>
    <row r="35" spans="1:12" x14ac:dyDescent="0.2">
      <c r="A35" s="19" t="str">
        <v>CTD-002</v>
      </c>
      <c r="B35" s="19">
        <v>14</v>
      </c>
      <c r="C35" s="19" t="str">
        <v>No problems noted</v>
      </c>
      <c r="D35" s="19">
        <v>120</v>
      </c>
      <c r="E35" s="19" t="str">
        <v>OXY-366A</v>
      </c>
      <c r="F35" s="19">
        <f>LOOKUP(E35,'++OxygenParameters++'!A:A,'++OxygenParameters++'!B:B)</f>
        <v>138.32</v>
      </c>
      <c r="G35" s="19">
        <v>0.33200000000000002</v>
      </c>
      <c r="H35" s="28">
        <v>2</v>
      </c>
      <c r="I35" s="19">
        <f t="shared" si="8"/>
        <v>0.53100000000000003</v>
      </c>
      <c r="J35" s="19">
        <f t="shared" si="9"/>
        <v>2.0000000000000018E-3</v>
      </c>
      <c r="K35" s="3">
        <f t="shared" si="10"/>
        <v>2.5492489039466797</v>
      </c>
      <c r="L35" s="19"/>
    </row>
    <row r="36" spans="1:12" x14ac:dyDescent="0.2">
      <c r="A36" s="19" t="str">
        <v>CTD-002</v>
      </c>
      <c r="B36" s="19">
        <v>15</v>
      </c>
      <c r="C36" s="19" t="str">
        <v>No problems noted</v>
      </c>
      <c r="D36" s="19">
        <v>100</v>
      </c>
      <c r="E36" s="19" t="str">
        <v>OXY-367</v>
      </c>
      <c r="F36" s="19">
        <f>LOOKUP(E36,'++OxygenParameters++'!A:A,'++OxygenParameters++'!B:B)</f>
        <v>131.04</v>
      </c>
      <c r="G36" s="19">
        <v>0.34799999999999998</v>
      </c>
      <c r="H36" s="28">
        <v>2</v>
      </c>
      <c r="I36" s="19">
        <f t="shared" si="8"/>
        <v>0.53100000000000003</v>
      </c>
      <c r="J36" s="19">
        <f t="shared" si="9"/>
        <v>2.0000000000000018E-3</v>
      </c>
      <c r="K36" s="3">
        <f t="shared" si="10"/>
        <v>2.8242806849358417</v>
      </c>
      <c r="L36" s="19"/>
    </row>
    <row r="37" spans="1:12" x14ac:dyDescent="0.2">
      <c r="A37" s="19" t="str">
        <v>CTD-002</v>
      </c>
      <c r="B37" s="19">
        <v>17</v>
      </c>
      <c r="C37" s="19" t="str">
        <v>No problems noted</v>
      </c>
      <c r="D37" s="19">
        <v>80</v>
      </c>
      <c r="E37" s="19" t="str">
        <v>OXY-368</v>
      </c>
      <c r="F37" s="19">
        <f>LOOKUP(E37,'++OxygenParameters++'!A:A,'++OxygenParameters++'!B:B)</f>
        <v>140.38</v>
      </c>
      <c r="G37" s="19">
        <v>0.39400000000000002</v>
      </c>
      <c r="H37" s="28">
        <v>2</v>
      </c>
      <c r="I37" s="19">
        <f t="shared" si="8"/>
        <v>0.53100000000000003</v>
      </c>
      <c r="J37" s="19">
        <f t="shared" si="9"/>
        <v>2.0000000000000018E-3</v>
      </c>
      <c r="K37" s="3">
        <f t="shared" si="10"/>
        <v>2.985427377176515</v>
      </c>
      <c r="L37" s="19"/>
    </row>
    <row r="38" spans="1:12" x14ac:dyDescent="0.2">
      <c r="A38" s="19" t="str">
        <v>CTD-002</v>
      </c>
      <c r="B38" s="19">
        <v>18</v>
      </c>
      <c r="C38" s="19" t="str">
        <v>No problems noted</v>
      </c>
      <c r="D38" s="19">
        <v>60</v>
      </c>
      <c r="E38" s="19" t="str">
        <v>OXY-369</v>
      </c>
      <c r="F38" s="19">
        <f>LOOKUP(E38,'++OxygenParameters++'!A:A,'++OxygenParameters++'!B:B)</f>
        <v>142.38</v>
      </c>
      <c r="G38" s="19">
        <v>0.52</v>
      </c>
      <c r="H38" s="28">
        <v>2</v>
      </c>
      <c r="I38" s="19">
        <f t="shared" si="8"/>
        <v>0.53100000000000003</v>
      </c>
      <c r="J38" s="19">
        <f t="shared" si="9"/>
        <v>2.0000000000000018E-3</v>
      </c>
      <c r="K38" s="3">
        <f t="shared" si="10"/>
        <v>3.892716528806095</v>
      </c>
      <c r="L38" s="19"/>
    </row>
    <row r="39" spans="1:12" x14ac:dyDescent="0.2">
      <c r="A39" s="19" t="str">
        <v>CTD-002</v>
      </c>
      <c r="B39" s="19">
        <v>18</v>
      </c>
      <c r="C39" s="19" t="str">
        <v>No problems noted</v>
      </c>
      <c r="D39" s="19">
        <v>60</v>
      </c>
      <c r="E39" s="19" t="str">
        <v>OXY-370</v>
      </c>
      <c r="F39" s="19">
        <f>LOOKUP(E39,'++OxygenParameters++'!A:A,'++OxygenParameters++'!B:B)</f>
        <v>132.83000000000001</v>
      </c>
      <c r="G39" s="19">
        <v>0.48399999999999999</v>
      </c>
      <c r="H39" s="28">
        <v>2</v>
      </c>
      <c r="I39" s="19">
        <f t="shared" si="8"/>
        <v>0.53100000000000003</v>
      </c>
      <c r="J39" s="19">
        <f t="shared" si="9"/>
        <v>2.0000000000000018E-3</v>
      </c>
      <c r="K39" s="3">
        <f t="shared" si="10"/>
        <v>3.8856800127497744</v>
      </c>
      <c r="L39" s="19"/>
    </row>
    <row r="40" spans="1:12" x14ac:dyDescent="0.2">
      <c r="A40" s="19" t="str">
        <v>CTD-002</v>
      </c>
      <c r="B40" s="19">
        <v>20</v>
      </c>
      <c r="C40" s="19" t="str">
        <v>No problems noted</v>
      </c>
      <c r="D40" s="19">
        <v>40</v>
      </c>
      <c r="E40" s="19" t="str">
        <v>OXY-371</v>
      </c>
      <c r="F40" s="19">
        <f>LOOKUP(E40,'++OxygenParameters++'!A:A,'++OxygenParameters++'!B:B)</f>
        <v>134.6</v>
      </c>
      <c r="G40" s="19">
        <v>0.61599999999999999</v>
      </c>
      <c r="H40" s="28">
        <v>2</v>
      </c>
      <c r="I40" s="19">
        <f t="shared" si="8"/>
        <v>0.53100000000000003</v>
      </c>
      <c r="J40" s="19">
        <f t="shared" si="9"/>
        <v>2.0000000000000018E-3</v>
      </c>
      <c r="K40" s="3">
        <f t="shared" si="10"/>
        <v>4.8872470611045049</v>
      </c>
      <c r="L40" s="19"/>
    </row>
    <row r="41" spans="1:12" x14ac:dyDescent="0.2">
      <c r="A41" s="19" t="str">
        <v>CTD-002</v>
      </c>
      <c r="B41" s="19">
        <v>22</v>
      </c>
      <c r="C41" s="19" t="str">
        <v>No problems noted</v>
      </c>
      <c r="D41" s="19">
        <v>20</v>
      </c>
      <c r="E41" s="19" t="str">
        <v>OXY-372</v>
      </c>
      <c r="F41" s="19">
        <f>LOOKUP(E41,'++OxygenParameters++'!A:A,'++OxygenParameters++'!B:B)</f>
        <v>131.53</v>
      </c>
      <c r="G41" s="19">
        <v>0.89400000000000002</v>
      </c>
      <c r="H41" s="28">
        <v>2</v>
      </c>
      <c r="I41" s="19">
        <f t="shared" si="8"/>
        <v>0.53100000000000003</v>
      </c>
      <c r="J41" s="19">
        <f t="shared" si="9"/>
        <v>2.0000000000000018E-3</v>
      </c>
      <c r="K41" s="3">
        <f t="shared" si="10"/>
        <v>7.2742605700965983</v>
      </c>
      <c r="L41" s="19"/>
    </row>
    <row r="42" spans="1:12" x14ac:dyDescent="0.2">
      <c r="A42" s="19" t="str">
        <v>CTD-002</v>
      </c>
      <c r="B42" s="19">
        <v>24</v>
      </c>
      <c r="C42" s="19" t="str">
        <v>No problems noted</v>
      </c>
      <c r="D42" s="19">
        <v>10</v>
      </c>
      <c r="E42" s="19" t="str">
        <v>OXY-373A</v>
      </c>
      <c r="F42" s="19">
        <f>LOOKUP(E42,'++OxygenParameters++'!A:A,'++OxygenParameters++'!B:B)</f>
        <v>140.75</v>
      </c>
      <c r="G42" s="19">
        <v>0.74</v>
      </c>
      <c r="H42" s="28">
        <v>2</v>
      </c>
      <c r="I42" s="19">
        <f t="shared" si="8"/>
        <v>0.53100000000000003</v>
      </c>
      <c r="J42" s="19">
        <f t="shared" si="9"/>
        <v>2.0000000000000018E-3</v>
      </c>
      <c r="K42" s="3">
        <f t="shared" si="10"/>
        <v>5.6163504146868988</v>
      </c>
      <c r="L42" s="19"/>
    </row>
    <row r="43" spans="1:12" x14ac:dyDescent="0.2">
      <c r="A43" s="19" t="str">
        <v>J2-1523</v>
      </c>
      <c r="B43" s="19" t="str">
        <v>Forward Port</v>
      </c>
      <c r="C43" s="19" t="str">
        <v>No problems noted</v>
      </c>
      <c r="D43" s="19">
        <v>2901</v>
      </c>
      <c r="E43" s="19" t="str">
        <v>OXY-374</v>
      </c>
      <c r="F43" s="19">
        <f>LOOKUP(E43,'++OxygenParameters++'!A:A,'++OxygenParameters++'!B:B)</f>
        <v>132.49</v>
      </c>
      <c r="G43" s="19">
        <v>0.246</v>
      </c>
      <c r="H43" s="19">
        <v>2</v>
      </c>
      <c r="I43" s="19">
        <f t="shared" si="8"/>
        <v>0.53100000000000003</v>
      </c>
      <c r="J43" s="19">
        <f t="shared" si="9"/>
        <v>2.0000000000000018E-3</v>
      </c>
      <c r="K43" s="3">
        <f t="shared" si="10"/>
        <v>1.965717121780765</v>
      </c>
      <c r="L43" s="19"/>
    </row>
    <row r="44" spans="1:12" x14ac:dyDescent="0.2">
      <c r="A44" s="19" t="str">
        <v>J2-1523</v>
      </c>
      <c r="B44" s="19" t="str">
        <v>Forward Port</v>
      </c>
      <c r="C44" s="19" t="str">
        <v>No problems noted</v>
      </c>
      <c r="D44" s="19">
        <v>2901</v>
      </c>
      <c r="E44" s="19" t="str">
        <v>OXY-375</v>
      </c>
      <c r="F44" s="19">
        <f>LOOKUP(E44,'++OxygenParameters++'!A:A,'++OxygenParameters++'!B:B)</f>
        <v>131.32</v>
      </c>
      <c r="G44" s="19">
        <v>0.254</v>
      </c>
      <c r="H44" s="28">
        <v>2</v>
      </c>
      <c r="I44" s="19">
        <f t="shared" si="8"/>
        <v>0.53100000000000003</v>
      </c>
      <c r="J44" s="19">
        <f t="shared" si="9"/>
        <v>2.0000000000000018E-3</v>
      </c>
      <c r="K44" s="3">
        <f t="shared" si="10"/>
        <v>2.0489654478829795</v>
      </c>
      <c r="L44" s="19"/>
    </row>
    <row r="45" spans="1:12" x14ac:dyDescent="0.2">
      <c r="A45" s="19" t="str">
        <v>J2-1528</v>
      </c>
      <c r="B45" s="19" t="str">
        <v>Aft Port</v>
      </c>
      <c r="C45" s="19" t="str">
        <v>No problems noted</v>
      </c>
      <c r="D45" s="19">
        <v>80</v>
      </c>
      <c r="E45" s="19" t="str">
        <v>OXY-361</v>
      </c>
      <c r="F45" s="19">
        <f>LOOKUP(E45,'++OxygenParameters++'!A:A,'++OxygenParameters++'!B:B)</f>
        <v>129.06</v>
      </c>
      <c r="G45" s="28">
        <v>0.10199999999999999</v>
      </c>
      <c r="H45" s="28">
        <v>3</v>
      </c>
      <c r="I45" s="19">
        <f t="shared" si="8"/>
        <v>0.51466666666666672</v>
      </c>
      <c r="J45" s="19">
        <f t="shared" si="9"/>
        <v>0</v>
      </c>
      <c r="K45" s="3">
        <f t="shared" si="10"/>
        <v>0.85978922283055037</v>
      </c>
      <c r="L45" s="19"/>
    </row>
    <row r="46" spans="1:12" x14ac:dyDescent="0.2">
      <c r="A46" s="19" t="str">
        <v>J2-1528</v>
      </c>
      <c r="B46" s="19" t="str">
        <v>Aft Port</v>
      </c>
      <c r="C46" s="19" t="str">
        <v>No problems noted</v>
      </c>
      <c r="D46" s="19">
        <v>80</v>
      </c>
      <c r="E46" s="19" t="str">
        <v>OXY-362</v>
      </c>
      <c r="F46" s="19">
        <f>LOOKUP(E46,'++OxygenParameters++'!A:A,'++OxygenParameters++'!B:B)</f>
        <v>123.3</v>
      </c>
      <c r="G46" s="28">
        <v>0.10199999999999999</v>
      </c>
      <c r="H46" s="28">
        <v>3</v>
      </c>
      <c r="I46" s="19">
        <f t="shared" si="8"/>
        <v>0.51466666666666672</v>
      </c>
      <c r="J46" s="19">
        <f t="shared" si="9"/>
        <v>0</v>
      </c>
      <c r="K46" s="3">
        <f t="shared" si="10"/>
        <v>0.90061680670115196</v>
      </c>
      <c r="L46" s="19"/>
    </row>
    <row r="47" spans="1:12" x14ac:dyDescent="0.2">
      <c r="A47" s="19" t="str">
        <v>CTD-003</v>
      </c>
      <c r="B47" s="19">
        <v>3</v>
      </c>
      <c r="C47" s="19" t="str">
        <v>No problems noted</v>
      </c>
      <c r="D47" s="19">
        <v>200</v>
      </c>
      <c r="E47" s="19" t="str">
        <v>OXY-362</v>
      </c>
      <c r="F47" s="19">
        <f>LOOKUP(E47,'++OxygenParameters++'!A:A,'++OxygenParameters++'!B:B)</f>
        <v>123.3</v>
      </c>
      <c r="G47" s="19">
        <v>0.38200000000000001</v>
      </c>
      <c r="H47" s="19">
        <v>4</v>
      </c>
      <c r="I47" s="19">
        <f t="shared" si="8"/>
        <v>0.53666666666666674</v>
      </c>
      <c r="J47" s="19">
        <f t="shared" si="9"/>
        <v>4.0999999999999995E-3</v>
      </c>
      <c r="K47" s="3">
        <f t="shared" si="10"/>
        <v>3.2607114379847655</v>
      </c>
      <c r="L47" s="19" t="s">
        <v>550</v>
      </c>
    </row>
    <row r="48" spans="1:12" x14ac:dyDescent="0.2">
      <c r="A48" s="19" t="str">
        <v>CTD-003</v>
      </c>
      <c r="B48" s="19">
        <v>19</v>
      </c>
      <c r="C48" s="19" t="str">
        <v>No problems noted</v>
      </c>
      <c r="D48" s="19">
        <v>40</v>
      </c>
      <c r="E48" s="19" t="str">
        <v>OXY-371</v>
      </c>
      <c r="F48" s="19">
        <f>LOOKUP(E48,'++OxygenParameters++'!A:A,'++OxygenParameters++'!B:B)</f>
        <v>134.6</v>
      </c>
      <c r="G48" s="19">
        <v>0.98199999999999998</v>
      </c>
      <c r="H48" s="19">
        <v>4</v>
      </c>
      <c r="I48" s="19">
        <f t="shared" si="8"/>
        <v>0.53666666666666674</v>
      </c>
      <c r="J48" s="19">
        <f t="shared" si="9"/>
        <v>4.0999999999999995E-3</v>
      </c>
      <c r="K48" s="3">
        <f t="shared" si="10"/>
        <v>7.7391093682840255</v>
      </c>
      <c r="L48" s="19" t="s">
        <v>550</v>
      </c>
    </row>
    <row r="49" spans="1:12" x14ac:dyDescent="0.2">
      <c r="A49" s="19" t="str">
        <v>CTD-003</v>
      </c>
      <c r="B49" s="19">
        <v>19</v>
      </c>
      <c r="C49" s="19" t="str">
        <v>No problems noted</v>
      </c>
      <c r="D49" s="19">
        <v>40</v>
      </c>
      <c r="E49" s="19" t="str">
        <v>OXY-372</v>
      </c>
      <c r="F49" s="19">
        <f>LOOKUP(E49,'++OxygenParameters++'!A:A,'++OxygenParameters++'!B:B)</f>
        <v>131.53</v>
      </c>
      <c r="G49" s="19">
        <v>0.90400000000000003</v>
      </c>
      <c r="H49" s="19">
        <v>4</v>
      </c>
      <c r="I49" s="19">
        <f t="shared" ref="I49:I80" si="11">LOOKUP(H49,M:M,V:V)</f>
        <v>0.53666666666666674</v>
      </c>
      <c r="J49" s="19">
        <f t="shared" ref="J49:J80" si="12">LOOKUP(H49,M:M,W:W)</f>
        <v>4.0999999999999995E-3</v>
      </c>
      <c r="K49" s="3">
        <f t="shared" si="10"/>
        <v>7.2895645302984917</v>
      </c>
      <c r="L49" s="19" t="s">
        <v>550</v>
      </c>
    </row>
    <row r="50" spans="1:12" x14ac:dyDescent="0.2">
      <c r="A50" s="19" t="str">
        <v>J2-1541</v>
      </c>
      <c r="B50" s="19" t="str">
        <v>Aft Port</v>
      </c>
      <c r="C50" s="19" t="str">
        <v>No problems noted</v>
      </c>
      <c r="D50" s="19">
        <v>596</v>
      </c>
      <c r="E50" s="19" t="str">
        <v>OXY-375</v>
      </c>
      <c r="F50" s="19">
        <f>LOOKUP(E50,'++OxygenParameters++'!A:A,'++OxygenParameters++'!B:B)</f>
        <v>131.32</v>
      </c>
      <c r="G50" s="19">
        <v>9.8000000000000004E-2</v>
      </c>
      <c r="H50" s="28">
        <v>4</v>
      </c>
      <c r="I50" s="19">
        <f t="shared" si="11"/>
        <v>0.53666666666666674</v>
      </c>
      <c r="J50" s="19">
        <f t="shared" si="12"/>
        <v>4.0999999999999995E-3</v>
      </c>
      <c r="K50" s="3">
        <f t="shared" si="10"/>
        <v>0.75009025017229658</v>
      </c>
      <c r="L50" s="19"/>
    </row>
    <row r="51" spans="1:12" x14ac:dyDescent="0.2">
      <c r="A51" s="19" t="str">
        <v>J2-1541</v>
      </c>
      <c r="B51" s="19" t="str">
        <v>Aft Port</v>
      </c>
      <c r="C51" s="19" t="str">
        <v>No problems noted</v>
      </c>
      <c r="D51" s="19">
        <v>596</v>
      </c>
      <c r="E51" s="19" t="str">
        <v>OXY-380</v>
      </c>
      <c r="F51" s="19">
        <f>LOOKUP(E51,'++OxygenParameters++'!A:A,'++OxygenParameters++'!B:B)</f>
        <v>133.78</v>
      </c>
      <c r="G51" s="19">
        <v>0.11</v>
      </c>
      <c r="H51" s="28">
        <v>4</v>
      </c>
      <c r="I51" s="19">
        <f t="shared" si="11"/>
        <v>0.53666666666666674</v>
      </c>
      <c r="J51" s="19">
        <f t="shared" si="12"/>
        <v>4.0999999999999995E-3</v>
      </c>
      <c r="K51" s="3">
        <f t="shared" si="10"/>
        <v>0.83180530618014548</v>
      </c>
      <c r="L51" s="19"/>
    </row>
    <row r="52" spans="1:12" x14ac:dyDescent="0.2">
      <c r="A52" s="19" t="str">
        <v>CTD-004</v>
      </c>
      <c r="B52" s="19">
        <v>1</v>
      </c>
      <c r="C52" s="19" t="str">
        <v>No problems noted</v>
      </c>
      <c r="D52" s="19">
        <v>2600</v>
      </c>
      <c r="E52" s="19" t="str">
        <v>OXY-361</v>
      </c>
      <c r="F52" s="19">
        <f>LOOKUP(E52,'++OxygenParameters++'!A:A,'++OxygenParameters++'!B:B)</f>
        <v>129.06</v>
      </c>
      <c r="G52" s="19">
        <v>0.22</v>
      </c>
      <c r="H52" s="28">
        <v>5</v>
      </c>
      <c r="I52" s="19">
        <f t="shared" si="11"/>
        <v>0.53333333333333333</v>
      </c>
      <c r="J52" s="19">
        <f t="shared" si="12"/>
        <v>-1.0000000000000009E-3</v>
      </c>
      <c r="K52" s="3">
        <f t="shared" si="10"/>
        <v>1.8088540895941316</v>
      </c>
      <c r="L52" s="19"/>
    </row>
    <row r="53" spans="1:12" x14ac:dyDescent="0.2">
      <c r="A53" s="19" t="str">
        <v>CTD-004</v>
      </c>
      <c r="B53" s="19">
        <v>3</v>
      </c>
      <c r="C53" s="19" t="str">
        <v>No problems noted</v>
      </c>
      <c r="D53" s="19">
        <v>2400</v>
      </c>
      <c r="E53" s="19" t="str">
        <v>OXY-362</v>
      </c>
      <c r="F53" s="19">
        <f>LOOKUP(E53,'++OxygenParameters++'!A:A,'++OxygenParameters++'!B:B)</f>
        <v>123.3</v>
      </c>
      <c r="G53" s="19">
        <v>0.19400000000000001</v>
      </c>
      <c r="H53" s="28">
        <v>5</v>
      </c>
      <c r="I53" s="19">
        <f t="shared" si="11"/>
        <v>0.53333333333333333</v>
      </c>
      <c r="J53" s="19">
        <f t="shared" si="12"/>
        <v>-1.0000000000000009E-3</v>
      </c>
      <c r="K53" s="3">
        <f t="shared" si="10"/>
        <v>1.6701881622411403</v>
      </c>
      <c r="L53" s="19"/>
    </row>
    <row r="54" spans="1:12" x14ac:dyDescent="0.2">
      <c r="A54" s="19" t="str">
        <v>CTD-004</v>
      </c>
      <c r="B54" s="19">
        <v>7</v>
      </c>
      <c r="C54" s="19" t="str">
        <v>No problems noted</v>
      </c>
      <c r="D54" s="19">
        <v>2000</v>
      </c>
      <c r="E54" s="19" t="str">
        <v>OXY-370</v>
      </c>
      <c r="F54" s="19">
        <f>LOOKUP(E54,'++OxygenParameters++'!A:A,'++OxygenParameters++'!B:B)</f>
        <v>132.83000000000001</v>
      </c>
      <c r="G54" s="19">
        <v>0.17799999999999999</v>
      </c>
      <c r="H54" s="28">
        <v>5</v>
      </c>
      <c r="I54" s="19">
        <f t="shared" si="11"/>
        <v>0.53333333333333333</v>
      </c>
      <c r="J54" s="19">
        <f t="shared" si="12"/>
        <v>-1.0000000000000009E-3</v>
      </c>
      <c r="K54" s="3">
        <f t="shared" si="10"/>
        <v>1.420402460436746</v>
      </c>
      <c r="L54" s="19"/>
    </row>
    <row r="55" spans="1:12" x14ac:dyDescent="0.2">
      <c r="A55" s="19" t="str">
        <v>CTD-004</v>
      </c>
      <c r="B55" s="19">
        <v>11</v>
      </c>
      <c r="C55" s="19" t="str">
        <v>No problems noted</v>
      </c>
      <c r="D55" s="19">
        <v>1000</v>
      </c>
      <c r="E55" s="19" t="str">
        <v>OXY-364A</v>
      </c>
      <c r="F55" s="19">
        <f>LOOKUP(E55,'++OxygenParameters++'!A:A,'++OxygenParameters++'!B:B)</f>
        <v>144.37</v>
      </c>
      <c r="G55" s="19">
        <v>3.7999999999999999E-2</v>
      </c>
      <c r="H55" s="28">
        <v>5</v>
      </c>
      <c r="I55" s="19">
        <f t="shared" si="11"/>
        <v>0.53333333333333333</v>
      </c>
      <c r="J55" s="19">
        <f t="shared" si="12"/>
        <v>-1.0000000000000009E-3</v>
      </c>
      <c r="K55" s="3">
        <f t="shared" si="10"/>
        <v>0.27504927172838417</v>
      </c>
      <c r="L55" s="19"/>
    </row>
    <row r="56" spans="1:12" x14ac:dyDescent="0.2">
      <c r="A56" s="19" t="str">
        <v>CTD-004</v>
      </c>
      <c r="B56" s="19">
        <v>11</v>
      </c>
      <c r="C56" s="19" t="str">
        <v>No problems noted</v>
      </c>
      <c r="D56" s="19">
        <v>1000</v>
      </c>
      <c r="E56" s="19" t="str">
        <v>OXY-363</v>
      </c>
      <c r="F56" s="19">
        <f>LOOKUP(E56,'++OxygenParameters++'!A:A,'++OxygenParameters++'!B:B)</f>
        <v>131.84</v>
      </c>
      <c r="G56" s="19">
        <v>3.5999999999999997E-2</v>
      </c>
      <c r="H56" s="28">
        <v>5</v>
      </c>
      <c r="I56" s="19">
        <f t="shared" si="11"/>
        <v>0.53333333333333333</v>
      </c>
      <c r="J56" s="19">
        <f t="shared" si="12"/>
        <v>-1.0000000000000009E-3</v>
      </c>
      <c r="K56" s="3">
        <f t="shared" si="10"/>
        <v>0.28545474078370459</v>
      </c>
      <c r="L56" s="19"/>
    </row>
    <row r="57" spans="1:12" x14ac:dyDescent="0.2">
      <c r="A57" s="19" t="str">
        <v>CTD-004</v>
      </c>
      <c r="B57" s="19">
        <v>13</v>
      </c>
      <c r="C57" s="19" t="str">
        <v>No problems noted</v>
      </c>
      <c r="D57" s="19">
        <v>500</v>
      </c>
      <c r="E57" s="19" t="str">
        <v>OXY-365</v>
      </c>
      <c r="F57" s="19">
        <f>LOOKUP(E57,'++OxygenParameters++'!A:A,'++OxygenParameters++'!B:B)</f>
        <v>141.76</v>
      </c>
      <c r="G57" s="19">
        <v>8.5000000000000006E-2</v>
      </c>
      <c r="H57" s="28">
        <v>5</v>
      </c>
      <c r="I57" s="19">
        <f t="shared" si="11"/>
        <v>0.53333333333333333</v>
      </c>
      <c r="J57" s="19">
        <f t="shared" si="12"/>
        <v>-1.0000000000000009E-3</v>
      </c>
      <c r="K57" s="3">
        <f t="shared" si="10"/>
        <v>0.63250439841439277</v>
      </c>
      <c r="L57" s="19"/>
    </row>
    <row r="58" spans="1:12" x14ac:dyDescent="0.2">
      <c r="A58" s="19" t="str">
        <v>CTD-004</v>
      </c>
      <c r="B58" s="19">
        <v>15</v>
      </c>
      <c r="C58" s="19" t="str">
        <v>No problems noted</v>
      </c>
      <c r="D58" s="19">
        <v>250</v>
      </c>
      <c r="E58" s="19" t="str">
        <v>OXY-366A</v>
      </c>
      <c r="F58" s="19">
        <f>LOOKUP(E58,'++OxygenParameters++'!A:A,'++OxygenParameters++'!B:B)</f>
        <v>138.32</v>
      </c>
      <c r="G58" s="19">
        <v>0.33800000000000002</v>
      </c>
      <c r="H58" s="28">
        <v>5</v>
      </c>
      <c r="I58" s="19">
        <f t="shared" si="11"/>
        <v>0.53333333333333333</v>
      </c>
      <c r="J58" s="19">
        <f t="shared" si="12"/>
        <v>-1.0000000000000009E-3</v>
      </c>
      <c r="K58" s="3">
        <f t="shared" si="10"/>
        <v>2.5928473863559818</v>
      </c>
      <c r="L58" s="19"/>
    </row>
    <row r="59" spans="1:12" x14ac:dyDescent="0.2">
      <c r="A59" s="19" t="str">
        <v>CTD-004</v>
      </c>
      <c r="B59" s="19">
        <v>17</v>
      </c>
      <c r="C59" s="19" t="str">
        <v>No problems noted</v>
      </c>
      <c r="D59" s="19">
        <v>100</v>
      </c>
      <c r="E59" s="19" t="str">
        <v>OXY-367</v>
      </c>
      <c r="F59" s="19">
        <f>LOOKUP(E59,'++OxygenParameters++'!A:A,'++OxygenParameters++'!B:B)</f>
        <v>131.04</v>
      </c>
      <c r="G59" s="19">
        <v>0.71399999999999997</v>
      </c>
      <c r="H59" s="28">
        <v>5</v>
      </c>
      <c r="I59" s="19">
        <f t="shared" si="11"/>
        <v>0.53333333333333333</v>
      </c>
      <c r="J59" s="19">
        <f t="shared" si="12"/>
        <v>-1.0000000000000009E-3</v>
      </c>
      <c r="K59" s="3">
        <f t="shared" si="10"/>
        <v>5.7918269913162659</v>
      </c>
      <c r="L59" s="19"/>
    </row>
    <row r="60" spans="1:12" x14ac:dyDescent="0.2">
      <c r="A60" s="19" t="str">
        <v>CTD-004</v>
      </c>
      <c r="B60" s="19">
        <v>21</v>
      </c>
      <c r="C60" s="19" t="str">
        <v>No problems noted</v>
      </c>
      <c r="D60" s="19">
        <v>30</v>
      </c>
      <c r="E60" s="19" t="str">
        <v>OXY-368</v>
      </c>
      <c r="F60" s="19">
        <f>LOOKUP(E60,'++OxygenParameters++'!A:A,'++OxygenParameters++'!B:B)</f>
        <v>140.38</v>
      </c>
      <c r="G60" s="19">
        <v>0.74</v>
      </c>
      <c r="H60" s="28">
        <v>5</v>
      </c>
      <c r="I60" s="19">
        <f t="shared" si="11"/>
        <v>0.53333333333333333</v>
      </c>
      <c r="J60" s="19">
        <f t="shared" si="12"/>
        <v>-1.0000000000000009E-3</v>
      </c>
      <c r="K60" s="3">
        <f t="shared" si="10"/>
        <v>5.5977491798195622</v>
      </c>
      <c r="L60" s="19"/>
    </row>
    <row r="61" spans="1:12" x14ac:dyDescent="0.2">
      <c r="A61" s="19" t="str">
        <v>CTD-004</v>
      </c>
      <c r="B61" s="19">
        <v>23</v>
      </c>
      <c r="C61" s="19" t="str">
        <v>No problems noted</v>
      </c>
      <c r="D61" s="19">
        <v>10</v>
      </c>
      <c r="E61" s="19" t="str">
        <v>OXY-369</v>
      </c>
      <c r="F61" s="19">
        <f>LOOKUP(E61,'++OxygenParameters++'!A:A,'++OxygenParameters++'!B:B)</f>
        <v>142.38</v>
      </c>
      <c r="G61" s="19">
        <v>0.75</v>
      </c>
      <c r="H61" s="28">
        <v>5</v>
      </c>
      <c r="I61" s="19">
        <f t="shared" si="11"/>
        <v>0.53333333333333333</v>
      </c>
      <c r="J61" s="19">
        <f t="shared" si="12"/>
        <v>-1.0000000000000009E-3</v>
      </c>
      <c r="K61" s="3">
        <f t="shared" si="10"/>
        <v>5.5926281369603954</v>
      </c>
      <c r="L61" s="19"/>
    </row>
    <row r="62" spans="1:12" x14ac:dyDescent="0.2">
      <c r="A62" s="19" t="str">
        <v>CTD-005</v>
      </c>
      <c r="B62" s="19">
        <v>3</v>
      </c>
      <c r="C62" s="19" t="str">
        <v>No problems noted</v>
      </c>
      <c r="D62" s="19">
        <v>550</v>
      </c>
      <c r="E62" s="19" t="str">
        <v>OXY-361</v>
      </c>
      <c r="F62" s="19">
        <f>LOOKUP(E62,'++OxygenParameters++'!A:A,'++OxygenParameters++'!B:B)</f>
        <v>129.06</v>
      </c>
      <c r="G62" s="19">
        <v>9.1999999999999998E-2</v>
      </c>
      <c r="H62" s="28">
        <v>6</v>
      </c>
      <c r="I62" s="19">
        <f t="shared" si="11"/>
        <v>0.52500000000000002</v>
      </c>
      <c r="J62" s="19">
        <f t="shared" si="12"/>
        <v>0</v>
      </c>
      <c r="K62" s="3">
        <f t="shared" si="10"/>
        <v>0.75868318679588942</v>
      </c>
      <c r="L62" s="19"/>
    </row>
    <row r="63" spans="1:12" x14ac:dyDescent="0.2">
      <c r="A63" s="19" t="str">
        <v>CTD-005</v>
      </c>
      <c r="B63" s="19">
        <v>5</v>
      </c>
      <c r="C63" s="19" t="str">
        <v>No problems noted</v>
      </c>
      <c r="D63" s="19">
        <v>500</v>
      </c>
      <c r="E63" s="19" t="str">
        <v>OXY-362</v>
      </c>
      <c r="F63" s="19">
        <f>LOOKUP(E63,'++OxygenParameters++'!A:A,'++OxygenParameters++'!B:B)</f>
        <v>123.3</v>
      </c>
      <c r="G63" s="19">
        <v>5.8000000000000003E-2</v>
      </c>
      <c r="H63" s="28">
        <v>6</v>
      </c>
      <c r="I63" s="19">
        <f t="shared" si="11"/>
        <v>0.52500000000000002</v>
      </c>
      <c r="J63" s="19">
        <f t="shared" si="12"/>
        <v>0</v>
      </c>
      <c r="K63" s="3">
        <f t="shared" si="10"/>
        <v>0.49583323519020139</v>
      </c>
      <c r="L63" s="19"/>
    </row>
    <row r="64" spans="1:12" x14ac:dyDescent="0.2">
      <c r="A64" s="19" t="str">
        <v>CTD-005</v>
      </c>
      <c r="B64" s="19">
        <v>7</v>
      </c>
      <c r="C64" s="19" t="str">
        <v>No problems noted</v>
      </c>
      <c r="D64" s="19">
        <v>450</v>
      </c>
      <c r="E64" s="19" t="str">
        <v>OXY-363</v>
      </c>
      <c r="F64" s="19">
        <f>LOOKUP(E64,'++OxygenParameters++'!A:A,'++OxygenParameters++'!B:B)</f>
        <v>131.84</v>
      </c>
      <c r="G64" s="19">
        <v>0.14199999999999999</v>
      </c>
      <c r="H64" s="28">
        <v>6</v>
      </c>
      <c r="I64" s="19">
        <f t="shared" si="11"/>
        <v>0.52500000000000002</v>
      </c>
      <c r="J64" s="19">
        <f t="shared" si="12"/>
        <v>0</v>
      </c>
      <c r="K64" s="3">
        <f t="shared" si="10"/>
        <v>1.153054308599595</v>
      </c>
      <c r="L64" s="19"/>
    </row>
    <row r="65" spans="1:12" x14ac:dyDescent="0.2">
      <c r="A65" s="19" t="str">
        <v>CTD-005</v>
      </c>
      <c r="B65" s="19">
        <v>9</v>
      </c>
      <c r="C65" s="19" t="str">
        <v>No problems noted</v>
      </c>
      <c r="D65" s="19">
        <v>400</v>
      </c>
      <c r="E65" s="19" t="str">
        <v>OXY-364A</v>
      </c>
      <c r="F65" s="19">
        <f>LOOKUP(E65,'++OxygenParameters++'!A:A,'++OxygenParameters++'!B:B)</f>
        <v>144.37</v>
      </c>
      <c r="G65" s="19">
        <v>0.17599999999999999</v>
      </c>
      <c r="H65" s="28">
        <v>6</v>
      </c>
      <c r="I65" s="19">
        <f t="shared" si="11"/>
        <v>0.52500000000000002</v>
      </c>
      <c r="J65" s="19">
        <f t="shared" si="12"/>
        <v>0</v>
      </c>
      <c r="K65" s="3">
        <f t="shared" si="10"/>
        <v>1.3062182040758985</v>
      </c>
      <c r="L65" s="19"/>
    </row>
    <row r="66" spans="1:12" x14ac:dyDescent="0.2">
      <c r="A66" s="19" t="str">
        <v>CTD-005</v>
      </c>
      <c r="B66" s="19">
        <v>12</v>
      </c>
      <c r="C66" s="19" t="str">
        <v>No problems noted</v>
      </c>
      <c r="D66" s="19">
        <v>350</v>
      </c>
      <c r="E66" s="19" t="str">
        <v>OXY-365</v>
      </c>
      <c r="F66" s="19">
        <f>LOOKUP(E66,'++OxygenParameters++'!A:A,'++OxygenParameters++'!B:B)</f>
        <v>141.76</v>
      </c>
      <c r="G66" s="19">
        <v>0.214</v>
      </c>
      <c r="H66" s="28">
        <v>6</v>
      </c>
      <c r="I66" s="19">
        <f t="shared" si="11"/>
        <v>0.52500000000000002</v>
      </c>
      <c r="J66" s="19">
        <f t="shared" si="12"/>
        <v>0</v>
      </c>
      <c r="K66" s="3">
        <f t="shared" si="10"/>
        <v>1.6205290702428659</v>
      </c>
      <c r="L66" s="19"/>
    </row>
    <row r="67" spans="1:12" x14ac:dyDescent="0.2">
      <c r="A67" s="19" t="str">
        <v>CTD-005</v>
      </c>
      <c r="B67" s="19">
        <v>13</v>
      </c>
      <c r="C67" s="19" t="str">
        <v>No problems noted</v>
      </c>
      <c r="D67" s="19">
        <v>325</v>
      </c>
      <c r="E67" s="19" t="str">
        <v>OXY-366A</v>
      </c>
      <c r="F67" s="19">
        <f>LOOKUP(E67,'++OxygenParameters++'!A:A,'++OxygenParameters++'!B:B)</f>
        <v>138.32</v>
      </c>
      <c r="G67" s="19">
        <v>0.224</v>
      </c>
      <c r="H67" s="28">
        <v>6</v>
      </c>
      <c r="I67" s="19">
        <f t="shared" si="11"/>
        <v>0.52500000000000002</v>
      </c>
      <c r="J67" s="19">
        <f t="shared" si="12"/>
        <v>0</v>
      </c>
      <c r="K67" s="3">
        <f t="shared" si="10"/>
        <v>1.7396420187793429</v>
      </c>
      <c r="L67" s="19"/>
    </row>
    <row r="68" spans="1:12" x14ac:dyDescent="0.2">
      <c r="A68" s="19" t="str">
        <v>CTD-005</v>
      </c>
      <c r="B68" s="19">
        <v>15</v>
      </c>
      <c r="C68" s="19" t="str">
        <v>No problems noted</v>
      </c>
      <c r="D68" s="19">
        <v>300</v>
      </c>
      <c r="E68" s="19" t="str">
        <v>OXY-367</v>
      </c>
      <c r="F68" s="19">
        <f>LOOKUP(E68,'++OxygenParameters++'!A:A,'++OxygenParameters++'!B:B)</f>
        <v>131.04</v>
      </c>
      <c r="G68" s="19">
        <v>0.24199999999999999</v>
      </c>
      <c r="H68" s="28">
        <v>6</v>
      </c>
      <c r="I68" s="19">
        <f t="shared" si="11"/>
        <v>0.52500000000000002</v>
      </c>
      <c r="J68" s="19">
        <f t="shared" si="12"/>
        <v>0</v>
      </c>
      <c r="K68" s="3">
        <f t="shared" si="10"/>
        <v>1.9865246656629176</v>
      </c>
      <c r="L68" s="19"/>
    </row>
    <row r="69" spans="1:12" x14ac:dyDescent="0.2">
      <c r="A69" s="19" t="str">
        <v>CTD-005</v>
      </c>
      <c r="B69" s="19">
        <v>17</v>
      </c>
      <c r="C69" s="19" t="str">
        <v>No problems noted</v>
      </c>
      <c r="D69" s="19">
        <v>275</v>
      </c>
      <c r="E69" s="19" t="str">
        <v>OXY-368</v>
      </c>
      <c r="F69" s="19">
        <f>LOOKUP(E69,'++OxygenParameters++'!A:A,'++OxygenParameters++'!B:B)</f>
        <v>140.38</v>
      </c>
      <c r="G69" s="19">
        <v>0.28199999999999997</v>
      </c>
      <c r="H69" s="28">
        <v>6</v>
      </c>
      <c r="I69" s="19">
        <f t="shared" si="11"/>
        <v>0.52500000000000002</v>
      </c>
      <c r="J69" s="19">
        <f t="shared" si="12"/>
        <v>0</v>
      </c>
      <c r="K69" s="3">
        <f t="shared" si="10"/>
        <v>2.1606631841925958</v>
      </c>
      <c r="L69" s="19"/>
    </row>
    <row r="70" spans="1:12" x14ac:dyDescent="0.2">
      <c r="A70" s="19" t="str">
        <v>CTD-005</v>
      </c>
      <c r="B70" s="19">
        <v>19</v>
      </c>
      <c r="C70" s="19" t="str">
        <v>No problems noted</v>
      </c>
      <c r="D70" s="19">
        <v>250</v>
      </c>
      <c r="E70" s="19" t="str">
        <v>OXY-369</v>
      </c>
      <c r="F70" s="19">
        <f>LOOKUP(E70,'++OxygenParameters++'!A:A,'++OxygenParameters++'!B:B)</f>
        <v>142.38</v>
      </c>
      <c r="G70" s="19">
        <v>0.28599999999999998</v>
      </c>
      <c r="H70" s="28">
        <v>6</v>
      </c>
      <c r="I70" s="19">
        <f t="shared" si="11"/>
        <v>0.52500000000000002</v>
      </c>
      <c r="J70" s="19">
        <f t="shared" si="12"/>
        <v>0</v>
      </c>
      <c r="K70" s="3">
        <f t="shared" si="10"/>
        <v>2.1602629597215723</v>
      </c>
      <c r="L70" s="19"/>
    </row>
    <row r="71" spans="1:12" x14ac:dyDescent="0.2">
      <c r="A71" s="19" t="str">
        <v>CTD-005</v>
      </c>
      <c r="B71" s="19">
        <v>19</v>
      </c>
      <c r="C71" s="19" t="str">
        <v>No problems noted</v>
      </c>
      <c r="D71" s="19">
        <v>250</v>
      </c>
      <c r="E71" s="19" t="str">
        <v>OXY-370</v>
      </c>
      <c r="F71" s="19">
        <f>LOOKUP(E71,'++OxygenParameters++'!A:A,'++OxygenParameters++'!B:B)</f>
        <v>132.83000000000001</v>
      </c>
      <c r="G71" s="19">
        <v>0.26800000000000002</v>
      </c>
      <c r="H71" s="28">
        <v>6</v>
      </c>
      <c r="I71" s="19">
        <f t="shared" si="11"/>
        <v>0.52500000000000002</v>
      </c>
      <c r="J71" s="19">
        <f t="shared" si="12"/>
        <v>0</v>
      </c>
      <c r="K71" s="3">
        <f t="shared" si="10"/>
        <v>2.1712494949825834</v>
      </c>
      <c r="L71" s="19"/>
    </row>
    <row r="72" spans="1:12" x14ac:dyDescent="0.2">
      <c r="A72" s="19" t="str">
        <v>CTD-005</v>
      </c>
      <c r="B72" s="19">
        <v>21</v>
      </c>
      <c r="C72" s="19" t="str">
        <v>No problems noted</v>
      </c>
      <c r="D72" s="19">
        <v>225</v>
      </c>
      <c r="E72" s="19" t="str">
        <v>OXY-371</v>
      </c>
      <c r="F72" s="19">
        <f>LOOKUP(E72,'++OxygenParameters++'!A:A,'++OxygenParameters++'!B:B)</f>
        <v>134.6</v>
      </c>
      <c r="G72" s="19">
        <v>0.28999999999999998</v>
      </c>
      <c r="H72" s="28">
        <v>6</v>
      </c>
      <c r="I72" s="19">
        <f t="shared" si="11"/>
        <v>0.52500000000000002</v>
      </c>
      <c r="J72" s="19">
        <f t="shared" si="12"/>
        <v>0</v>
      </c>
      <c r="K72" s="3">
        <f t="shared" si="10"/>
        <v>2.3191769015298425</v>
      </c>
      <c r="L72" s="19"/>
    </row>
    <row r="73" spans="1:12" x14ac:dyDescent="0.2">
      <c r="A73" s="19" t="str">
        <v>CTD-006</v>
      </c>
      <c r="B73" s="19">
        <v>1</v>
      </c>
      <c r="C73" s="19" t="str">
        <v>Leaking</v>
      </c>
      <c r="D73" s="19">
        <v>560</v>
      </c>
      <c r="E73" s="19" t="str">
        <v>OXY-362</v>
      </c>
      <c r="F73" s="19">
        <f>LOOKUP(E73,'++OxygenParameters++'!A:A,'++OxygenParameters++'!B:B)</f>
        <v>123.3</v>
      </c>
      <c r="G73" s="19">
        <v>0.08</v>
      </c>
      <c r="H73" s="19">
        <v>7</v>
      </c>
      <c r="I73" s="19">
        <f t="shared" si="11"/>
        <v>0.52800000000000002</v>
      </c>
      <c r="J73" s="19">
        <f t="shared" si="12"/>
        <v>-2.0000000000000018E-3</v>
      </c>
      <c r="K73" s="3">
        <f t="shared" si="10"/>
        <v>0.70000466642816039</v>
      </c>
      <c r="L73" s="19"/>
    </row>
    <row r="74" spans="1:12" x14ac:dyDescent="0.2">
      <c r="A74" s="19" t="str">
        <v>CTD-006</v>
      </c>
      <c r="B74" s="19">
        <v>2</v>
      </c>
      <c r="C74" s="19" t="str">
        <v>No problems noted</v>
      </c>
      <c r="D74" s="19">
        <v>560</v>
      </c>
      <c r="E74" s="19" t="str">
        <v>OXY-363</v>
      </c>
      <c r="F74" s="19">
        <f>LOOKUP(E74,'++OxygenParameters++'!A:A,'++OxygenParameters++'!B:B)</f>
        <v>131.84</v>
      </c>
      <c r="G74" s="19">
        <v>0.08</v>
      </c>
      <c r="H74" s="28">
        <v>7</v>
      </c>
      <c r="I74" s="19">
        <f t="shared" si="11"/>
        <v>0.52800000000000002</v>
      </c>
      <c r="J74" s="19">
        <f t="shared" si="12"/>
        <v>-2.0000000000000018E-3</v>
      </c>
      <c r="K74" s="3">
        <f t="shared" si="10"/>
        <v>0.65396307792464448</v>
      </c>
      <c r="L74" s="19"/>
    </row>
    <row r="75" spans="1:12" x14ac:dyDescent="0.2">
      <c r="A75" s="19" t="str">
        <v>CTD-006</v>
      </c>
      <c r="B75" s="19">
        <v>5</v>
      </c>
      <c r="C75" s="19" t="str">
        <v>No problems noted</v>
      </c>
      <c r="D75" s="19">
        <v>500</v>
      </c>
      <c r="E75" s="19" t="str">
        <v>OXY-364A</v>
      </c>
      <c r="F75" s="19">
        <f>LOOKUP(E75,'++OxygenParameters++'!A:A,'++OxygenParameters++'!B:B)</f>
        <v>144.37</v>
      </c>
      <c r="G75" s="19">
        <v>0.114</v>
      </c>
      <c r="H75" s="28">
        <v>7</v>
      </c>
      <c r="I75" s="19">
        <f t="shared" si="11"/>
        <v>0.52800000000000002</v>
      </c>
      <c r="J75" s="19">
        <f t="shared" si="12"/>
        <v>-2.0000000000000018E-3</v>
      </c>
      <c r="K75" s="3">
        <f t="shared" si="10"/>
        <v>0.84864974468598298</v>
      </c>
      <c r="L75" s="19"/>
    </row>
    <row r="76" spans="1:12" x14ac:dyDescent="0.2">
      <c r="A76" s="19" t="str">
        <v>CTD-006</v>
      </c>
      <c r="B76" s="19">
        <v>7</v>
      </c>
      <c r="C76" s="19" t="str">
        <v>No problems noted</v>
      </c>
      <c r="D76" s="19">
        <v>450</v>
      </c>
      <c r="E76" s="19" t="str">
        <v>OXY-365</v>
      </c>
      <c r="F76" s="19">
        <f>LOOKUP(E76,'++OxygenParameters++'!A:A,'++OxygenParameters++'!B:B)</f>
        <v>141.76</v>
      </c>
      <c r="G76" s="19">
        <v>0.13600000000000001</v>
      </c>
      <c r="H76" s="28">
        <v>7</v>
      </c>
      <c r="I76" s="19">
        <f t="shared" si="11"/>
        <v>0.52800000000000002</v>
      </c>
      <c r="J76" s="19">
        <f t="shared" si="12"/>
        <v>-2.0000000000000018E-3</v>
      </c>
      <c r="K76" s="3">
        <f t="shared" si="10"/>
        <v>1.0307616291000208</v>
      </c>
      <c r="L76" s="19"/>
    </row>
    <row r="77" spans="1:12" x14ac:dyDescent="0.2">
      <c r="A77" s="19" t="str">
        <v>CTD-006</v>
      </c>
      <c r="B77" s="19">
        <v>9</v>
      </c>
      <c r="C77" s="19" t="str">
        <v>No problems noted</v>
      </c>
      <c r="D77" s="19">
        <v>400</v>
      </c>
      <c r="E77" s="19" t="str">
        <v>OXY-366A</v>
      </c>
      <c r="F77" s="19">
        <f>LOOKUP(E77,'++OxygenParameters++'!A:A,'++OxygenParameters++'!B:B)</f>
        <v>138.32</v>
      </c>
      <c r="G77" s="19">
        <v>0.16400000000000001</v>
      </c>
      <c r="H77" s="28">
        <v>7</v>
      </c>
      <c r="I77" s="19">
        <f t="shared" si="11"/>
        <v>0.52800000000000002</v>
      </c>
      <c r="J77" s="19">
        <f t="shared" si="12"/>
        <v>-2.0000000000000018E-3</v>
      </c>
      <c r="K77" s="3">
        <f t="shared" si="10"/>
        <v>1.2737205465497388</v>
      </c>
      <c r="L77" s="19"/>
    </row>
    <row r="78" spans="1:12" x14ac:dyDescent="0.2">
      <c r="A78" s="19" t="str">
        <v>CTD-006</v>
      </c>
      <c r="B78" s="19">
        <v>11</v>
      </c>
      <c r="C78" s="19" t="str">
        <v>No problems noted</v>
      </c>
      <c r="D78" s="19">
        <v>350</v>
      </c>
      <c r="E78" s="19" t="str">
        <v>OXY-367</v>
      </c>
      <c r="F78" s="19">
        <f>LOOKUP(E78,'++OxygenParameters++'!A:A,'++OxygenParameters++'!B:B)</f>
        <v>131.04</v>
      </c>
      <c r="G78" s="19">
        <v>0.19</v>
      </c>
      <c r="H78" s="28">
        <v>7</v>
      </c>
      <c r="I78" s="19">
        <f t="shared" si="11"/>
        <v>0.52800000000000002</v>
      </c>
      <c r="J78" s="19">
        <f t="shared" si="12"/>
        <v>-2.0000000000000018E-3</v>
      </c>
      <c r="K78" s="3">
        <f t="shared" si="10"/>
        <v>1.5583964018762648</v>
      </c>
      <c r="L78" s="19"/>
    </row>
    <row r="79" spans="1:12" x14ac:dyDescent="0.2">
      <c r="A79" s="19" t="str">
        <v>CTD-006</v>
      </c>
      <c r="B79" s="19">
        <v>15</v>
      </c>
      <c r="C79" s="19" t="str">
        <v>No problems noted</v>
      </c>
      <c r="D79" s="19">
        <v>300</v>
      </c>
      <c r="E79" s="19" t="str">
        <v>OXY-368</v>
      </c>
      <c r="F79" s="19">
        <f>LOOKUP(E79,'++OxygenParameters++'!A:A,'++OxygenParameters++'!B:B)</f>
        <v>140.38</v>
      </c>
      <c r="G79" s="19">
        <v>0.24</v>
      </c>
      <c r="H79" s="28">
        <v>7</v>
      </c>
      <c r="I79" s="19">
        <f t="shared" si="11"/>
        <v>0.52800000000000002</v>
      </c>
      <c r="J79" s="19">
        <f t="shared" si="12"/>
        <v>-2.0000000000000018E-3</v>
      </c>
      <c r="K79" s="3">
        <f t="shared" si="10"/>
        <v>1.8348518026653433</v>
      </c>
      <c r="L79" s="19"/>
    </row>
    <row r="80" spans="1:12" x14ac:dyDescent="0.2">
      <c r="A80" s="19" t="str">
        <v>CTD-006</v>
      </c>
      <c r="B80" s="19">
        <v>17</v>
      </c>
      <c r="C80" s="19" t="str">
        <v>No problems noted</v>
      </c>
      <c r="D80" s="19">
        <v>275</v>
      </c>
      <c r="E80" s="19" t="str">
        <v>OXY-369</v>
      </c>
      <c r="F80" s="19">
        <f>LOOKUP(E80,'++OxygenParameters++'!A:A,'++OxygenParameters++'!B:B)</f>
        <v>142.38</v>
      </c>
      <c r="G80" s="19">
        <v>0.27</v>
      </c>
      <c r="H80" s="28">
        <v>7</v>
      </c>
      <c r="I80" s="19">
        <f t="shared" si="11"/>
        <v>0.52800000000000002</v>
      </c>
      <c r="J80" s="19">
        <f t="shared" si="12"/>
        <v>-2.0000000000000018E-3</v>
      </c>
      <c r="K80" s="3">
        <f t="shared" si="10"/>
        <v>2.0344321477821659</v>
      </c>
      <c r="L80" s="19"/>
    </row>
    <row r="81" spans="1:12" x14ac:dyDescent="0.2">
      <c r="A81" s="19" t="str">
        <v>CTD-006</v>
      </c>
      <c r="B81" s="19">
        <v>19</v>
      </c>
      <c r="C81" s="19" t="str">
        <v>No problems noted</v>
      </c>
      <c r="D81" s="19">
        <v>250</v>
      </c>
      <c r="E81" s="19" t="str">
        <v>OXY-371</v>
      </c>
      <c r="F81" s="19">
        <f>LOOKUP(E81,'++OxygenParameters++'!A:A,'++OxygenParameters++'!B:B)</f>
        <v>134.6</v>
      </c>
      <c r="G81" s="19">
        <v>0.252</v>
      </c>
      <c r="H81" s="28">
        <v>7</v>
      </c>
      <c r="I81" s="19">
        <f t="shared" ref="I81:I112" si="13">LOOKUP(H81,M:M,V:V)</f>
        <v>0.52800000000000002</v>
      </c>
      <c r="J81" s="19">
        <f t="shared" ref="J81:J112" si="14">LOOKUP(H81,M:M,W:W)</f>
        <v>-2.0000000000000018E-3</v>
      </c>
      <c r="K81" s="3">
        <f t="shared" si="10"/>
        <v>2.0104186231822192</v>
      </c>
      <c r="L81" s="19"/>
    </row>
    <row r="82" spans="1:12" x14ac:dyDescent="0.2">
      <c r="A82" s="19" t="str">
        <v>CTD-006</v>
      </c>
      <c r="B82" s="19">
        <v>23</v>
      </c>
      <c r="C82" s="19" t="str">
        <v>No problems noted</v>
      </c>
      <c r="D82" s="19">
        <v>200</v>
      </c>
      <c r="E82" s="19" t="str">
        <v>OXY-376</v>
      </c>
      <c r="F82" s="19">
        <f>LOOKUP(E82,'++OxygenParameters++'!A:A,'++OxygenParameters++'!B:B)</f>
        <v>129.56</v>
      </c>
      <c r="G82" s="19">
        <v>0.27800000000000002</v>
      </c>
      <c r="H82" s="28">
        <v>7</v>
      </c>
      <c r="I82" s="19">
        <f t="shared" si="13"/>
        <v>0.52800000000000002</v>
      </c>
      <c r="J82" s="19">
        <f t="shared" si="14"/>
        <v>-2.0000000000000018E-3</v>
      </c>
      <c r="K82" s="3">
        <f t="shared" ref="K82:K118" si="15">(((((G82-J82)*$D$4*$D$3*5598)/(I82-J82))-1000*0.0017)/(F82-2))</f>
        <v>2.3051379447037874</v>
      </c>
      <c r="L82" s="19"/>
    </row>
    <row r="83" spans="1:12" x14ac:dyDescent="0.2">
      <c r="A83" s="19" t="str">
        <v>CTD-006</v>
      </c>
      <c r="B83" s="19">
        <v>23</v>
      </c>
      <c r="C83" s="19" t="str">
        <v>No problems noted</v>
      </c>
      <c r="D83" s="19">
        <v>200</v>
      </c>
      <c r="E83" s="19" t="str">
        <v>OXY-377</v>
      </c>
      <c r="F83" s="19">
        <f>LOOKUP(E83,'++OxygenParameters++'!A:A,'++OxygenParameters++'!B:B)</f>
        <v>131.66</v>
      </c>
      <c r="G83" s="19">
        <v>0.28199999999999997</v>
      </c>
      <c r="H83" s="28">
        <v>7</v>
      </c>
      <c r="I83" s="19">
        <f t="shared" si="13"/>
        <v>0.52800000000000002</v>
      </c>
      <c r="J83" s="19">
        <f t="shared" si="14"/>
        <v>-2.0000000000000018E-3</v>
      </c>
      <c r="K83" s="3">
        <f t="shared" si="15"/>
        <v>2.3003879522350181</v>
      </c>
      <c r="L83" s="19"/>
    </row>
    <row r="84" spans="1:12" x14ac:dyDescent="0.2">
      <c r="A84" s="19" t="str">
        <v>CTD-007</v>
      </c>
      <c r="B84" s="19">
        <v>1</v>
      </c>
      <c r="C84" s="19" t="str">
        <v>No problems noted</v>
      </c>
      <c r="D84" s="19">
        <v>2890</v>
      </c>
      <c r="E84" s="19" t="str">
        <v>OXY-313A</v>
      </c>
      <c r="F84" s="19">
        <f>LOOKUP(E84,'++OxygenParameters++'!A:A,'++OxygenParameters++'!B:B)</f>
        <v>138.97</v>
      </c>
      <c r="G84" s="19">
        <v>0.25</v>
      </c>
      <c r="H84" s="28">
        <v>7</v>
      </c>
      <c r="I84" s="19">
        <f t="shared" si="13"/>
        <v>0.52800000000000002</v>
      </c>
      <c r="J84" s="19">
        <f t="shared" si="14"/>
        <v>-2.0000000000000018E-3</v>
      </c>
      <c r="K84" s="3">
        <f t="shared" si="15"/>
        <v>1.9308538848198409</v>
      </c>
      <c r="L84" s="19"/>
    </row>
    <row r="85" spans="1:12" x14ac:dyDescent="0.2">
      <c r="A85" s="19" t="str">
        <v>CTD-007</v>
      </c>
      <c r="B85" s="19">
        <v>5</v>
      </c>
      <c r="C85" s="19" t="str">
        <v>No problems noted</v>
      </c>
      <c r="D85" s="19">
        <v>2500</v>
      </c>
      <c r="E85" s="19" t="str">
        <v>OXY-315</v>
      </c>
      <c r="F85" s="19">
        <f>LOOKUP(E85,'++OxygenParameters++'!A:A,'++OxygenParameters++'!B:B)</f>
        <v>132.76</v>
      </c>
      <c r="G85" s="19">
        <v>0.24</v>
      </c>
      <c r="H85" s="28">
        <v>7</v>
      </c>
      <c r="I85" s="19">
        <f t="shared" si="13"/>
        <v>0.52800000000000002</v>
      </c>
      <c r="J85" s="19">
        <f t="shared" si="14"/>
        <v>-2.0000000000000018E-3</v>
      </c>
      <c r="K85" s="3">
        <f t="shared" si="15"/>
        <v>1.9417772442094694</v>
      </c>
      <c r="L85" s="19"/>
    </row>
    <row r="86" spans="1:12" x14ac:dyDescent="0.2">
      <c r="A86" s="19" t="str">
        <v>CTD-007</v>
      </c>
      <c r="B86" s="19">
        <v>7</v>
      </c>
      <c r="C86" s="19" t="str">
        <v>No problems noted</v>
      </c>
      <c r="D86" s="19">
        <v>2000</v>
      </c>
      <c r="E86" s="19" t="str">
        <v>OXY-319</v>
      </c>
      <c r="F86" s="19">
        <f>LOOKUP(E86,'++OxygenParameters++'!A:A,'++OxygenParameters++'!B:B)</f>
        <v>141.15</v>
      </c>
      <c r="G86" s="19">
        <v>0.19800000000000001</v>
      </c>
      <c r="H86" s="28">
        <v>7</v>
      </c>
      <c r="I86" s="19">
        <f t="shared" si="13"/>
        <v>0.52800000000000002</v>
      </c>
      <c r="J86" s="19">
        <f t="shared" si="14"/>
        <v>-2.0000000000000018E-3</v>
      </c>
      <c r="K86" s="3">
        <f t="shared" si="15"/>
        <v>1.5058949552200354</v>
      </c>
      <c r="L86" s="19"/>
    </row>
    <row r="87" spans="1:12" x14ac:dyDescent="0.2">
      <c r="A87" s="19" t="str">
        <v>CTD-007</v>
      </c>
      <c r="B87" s="19">
        <v>9</v>
      </c>
      <c r="C87" s="19" t="str">
        <v>No problems noted</v>
      </c>
      <c r="D87" s="19">
        <v>1750</v>
      </c>
      <c r="E87" s="19" t="str">
        <v>OXY-318</v>
      </c>
      <c r="F87" s="19">
        <f>LOOKUP(E87,'++OxygenParameters++'!A:A,'++OxygenParameters++'!B:B)</f>
        <v>127.31</v>
      </c>
      <c r="G87" s="19">
        <v>0.13800000000000001</v>
      </c>
      <c r="H87" s="28">
        <v>7</v>
      </c>
      <c r="I87" s="19">
        <f t="shared" si="13"/>
        <v>0.52800000000000002</v>
      </c>
      <c r="J87" s="19">
        <f t="shared" si="14"/>
        <v>-2.0000000000000018E-3</v>
      </c>
      <c r="K87" s="3">
        <f t="shared" si="15"/>
        <v>1.1664807127380703</v>
      </c>
      <c r="L87" s="19"/>
    </row>
    <row r="88" spans="1:12" x14ac:dyDescent="0.2">
      <c r="A88" s="19" t="str">
        <v>CTD-007</v>
      </c>
      <c r="B88" s="19">
        <v>11</v>
      </c>
      <c r="C88" s="19" t="str">
        <v>No problems noted</v>
      </c>
      <c r="D88" s="19">
        <v>1500</v>
      </c>
      <c r="E88" s="19" t="str">
        <v>OXY-322</v>
      </c>
      <c r="F88" s="19">
        <f>LOOKUP(E88,'++OxygenParameters++'!A:A,'++OxygenParameters++'!B:B)</f>
        <v>128.54</v>
      </c>
      <c r="G88" s="19">
        <v>9.8000000000000004E-2</v>
      </c>
      <c r="H88" s="28">
        <v>7</v>
      </c>
      <c r="I88" s="19">
        <f t="shared" si="13"/>
        <v>0.52800000000000002</v>
      </c>
      <c r="J88" s="19">
        <f t="shared" si="14"/>
        <v>-2.0000000000000018E-3</v>
      </c>
      <c r="K88" s="3">
        <f t="shared" si="15"/>
        <v>0.82126316982324932</v>
      </c>
      <c r="L88" s="19"/>
    </row>
    <row r="89" spans="1:12" x14ac:dyDescent="0.2">
      <c r="A89" s="19" t="str">
        <v>CTD-007</v>
      </c>
      <c r="B89" s="19">
        <v>13</v>
      </c>
      <c r="C89" s="19" t="str">
        <v>No problems noted</v>
      </c>
      <c r="D89" s="19">
        <v>1250</v>
      </c>
      <c r="E89" s="19" t="str">
        <v>OXY-326</v>
      </c>
      <c r="F89" s="19">
        <f>LOOKUP(E89,'++OxygenParameters++'!A:A,'++OxygenParameters++'!B:B)</f>
        <v>145.12</v>
      </c>
      <c r="G89" s="19">
        <v>0.08</v>
      </c>
      <c r="H89" s="28">
        <v>7</v>
      </c>
      <c r="I89" s="19">
        <f t="shared" si="13"/>
        <v>0.52800000000000002</v>
      </c>
      <c r="J89" s="19">
        <f t="shared" si="14"/>
        <v>-2.0000000000000018E-3</v>
      </c>
      <c r="K89" s="3">
        <f t="shared" si="15"/>
        <v>0.59328232279021687</v>
      </c>
      <c r="L89" s="19"/>
    </row>
    <row r="90" spans="1:12" x14ac:dyDescent="0.2">
      <c r="A90" s="19" t="str">
        <v>CTD-007</v>
      </c>
      <c r="B90" s="19">
        <v>15</v>
      </c>
      <c r="C90" s="19" t="str">
        <v>No problems noted</v>
      </c>
      <c r="D90" s="19">
        <v>1000</v>
      </c>
      <c r="E90" s="19" t="str">
        <v>OXY-327</v>
      </c>
      <c r="F90" s="19">
        <f>LOOKUP(E90,'++OxygenParameters++'!A:A,'++OxygenParameters++'!B:B)</f>
        <v>128.91999999999999</v>
      </c>
      <c r="G90" s="19">
        <v>3.7999999999999999E-2</v>
      </c>
      <c r="H90" s="28">
        <v>7</v>
      </c>
      <c r="I90" s="19">
        <f t="shared" si="13"/>
        <v>0.52800000000000002</v>
      </c>
      <c r="J90" s="19">
        <f t="shared" si="14"/>
        <v>-2.0000000000000018E-3</v>
      </c>
      <c r="K90" s="3">
        <f t="shared" si="15"/>
        <v>0.31948516076090122</v>
      </c>
      <c r="L90" s="19"/>
    </row>
    <row r="91" spans="1:12" x14ac:dyDescent="0.2">
      <c r="A91" s="19" t="str">
        <v>CTD-007</v>
      </c>
      <c r="B91" s="19">
        <v>17</v>
      </c>
      <c r="C91" s="19" t="str">
        <v>No problems noted</v>
      </c>
      <c r="D91" s="19">
        <v>750</v>
      </c>
      <c r="E91" s="19" t="str">
        <v>OXY-331</v>
      </c>
      <c r="F91" s="19">
        <f>LOOKUP(E91,'++OxygenParameters++'!A:A,'++OxygenParameters++'!B:B)</f>
        <v>146.19999999999999</v>
      </c>
      <c r="G91" s="19">
        <v>3.5999999999999997E-2</v>
      </c>
      <c r="H91" s="28">
        <v>7</v>
      </c>
      <c r="I91" s="19">
        <f t="shared" si="13"/>
        <v>0.52800000000000002</v>
      </c>
      <c r="J91" s="19">
        <f t="shared" si="14"/>
        <v>-2.0000000000000018E-3</v>
      </c>
      <c r="K91" s="3">
        <f t="shared" si="15"/>
        <v>0.26655065030225317</v>
      </c>
      <c r="L91" s="19"/>
    </row>
    <row r="92" spans="1:12" x14ac:dyDescent="0.2">
      <c r="A92" s="19" t="str">
        <v>CTD-007</v>
      </c>
      <c r="B92" s="19">
        <v>21</v>
      </c>
      <c r="C92" s="19" t="str">
        <v>No problems noted</v>
      </c>
      <c r="D92" s="19">
        <v>300</v>
      </c>
      <c r="E92" s="19" t="str">
        <v>OXY-328</v>
      </c>
      <c r="F92" s="19">
        <f>LOOKUP(E92,'++OxygenParameters++'!A:A,'++OxygenParameters++'!B:B)</f>
        <v>132.37</v>
      </c>
      <c r="G92" s="19">
        <v>0.21</v>
      </c>
      <c r="H92" s="28">
        <v>7</v>
      </c>
      <c r="I92" s="19">
        <f t="shared" si="13"/>
        <v>0.52800000000000002</v>
      </c>
      <c r="J92" s="19">
        <f t="shared" si="14"/>
        <v>-2.0000000000000018E-3</v>
      </c>
      <c r="K92" s="3">
        <f t="shared" si="15"/>
        <v>1.704533251514919</v>
      </c>
      <c r="L92" s="19"/>
    </row>
    <row r="93" spans="1:12" x14ac:dyDescent="0.2">
      <c r="A93" s="19" t="str">
        <v>CTD-007</v>
      </c>
      <c r="B93" s="19">
        <v>23</v>
      </c>
      <c r="C93" s="19" t="str">
        <v>No problems noted</v>
      </c>
      <c r="D93" s="19">
        <v>200</v>
      </c>
      <c r="E93" s="19" t="str">
        <v>OXY-329</v>
      </c>
      <c r="F93" s="19">
        <f>LOOKUP(E93,'++OxygenParameters++'!A:A,'++OxygenParameters++'!B:B)</f>
        <v>140.59</v>
      </c>
      <c r="G93" s="19">
        <v>0.33</v>
      </c>
      <c r="H93" s="28">
        <v>7</v>
      </c>
      <c r="I93" s="19">
        <f t="shared" si="13"/>
        <v>0.52800000000000002</v>
      </c>
      <c r="J93" s="19">
        <f t="shared" si="14"/>
        <v>-2.0000000000000018E-3</v>
      </c>
      <c r="K93" s="3">
        <f t="shared" si="15"/>
        <v>2.5179823205954306</v>
      </c>
      <c r="L93" s="19"/>
    </row>
    <row r="94" spans="1:12" x14ac:dyDescent="0.2">
      <c r="A94" s="19" t="str">
        <v>CTD-007</v>
      </c>
      <c r="B94" s="19">
        <v>23</v>
      </c>
      <c r="C94" s="19" t="str">
        <v>No problems noted</v>
      </c>
      <c r="D94" s="19">
        <v>200</v>
      </c>
      <c r="E94" s="19" t="str">
        <v>OXY-330</v>
      </c>
      <c r="F94" s="19">
        <f>LOOKUP(E94,'++OxygenParameters++'!A:A,'++OxygenParameters++'!B:B)</f>
        <v>133.06</v>
      </c>
      <c r="G94" s="19">
        <v>0.316</v>
      </c>
      <c r="H94" s="28">
        <v>7</v>
      </c>
      <c r="I94" s="19">
        <f t="shared" si="13"/>
        <v>0.52800000000000002</v>
      </c>
      <c r="J94" s="19">
        <f t="shared" si="14"/>
        <v>-2.0000000000000018E-3</v>
      </c>
      <c r="K94" s="3">
        <f t="shared" si="15"/>
        <v>2.5498245078589958</v>
      </c>
      <c r="L94" s="19"/>
    </row>
    <row r="95" spans="1:12" x14ac:dyDescent="0.2">
      <c r="A95" s="19" t="str">
        <v>CTD-008</v>
      </c>
      <c r="B95" s="19">
        <v>1</v>
      </c>
      <c r="C95" s="19" t="str">
        <v>No problems noted</v>
      </c>
      <c r="D95" s="19">
        <v>2590</v>
      </c>
      <c r="E95" s="19" t="str">
        <v>OXY-313A</v>
      </c>
      <c r="F95" s="19">
        <f>LOOKUP(E95,'++OxygenParameters++'!A:A,'++OxygenParameters++'!B:B)</f>
        <v>138.97</v>
      </c>
      <c r="G95" s="19">
        <v>0.21199999999999999</v>
      </c>
      <c r="H95" s="28">
        <v>7</v>
      </c>
      <c r="I95" s="19">
        <f t="shared" si="13"/>
        <v>0.52800000000000002</v>
      </c>
      <c r="J95" s="19">
        <f t="shared" si="14"/>
        <v>-2.0000000000000018E-3</v>
      </c>
      <c r="K95" s="3">
        <f t="shared" si="15"/>
        <v>1.6378218064553458</v>
      </c>
      <c r="L95" s="19"/>
    </row>
    <row r="96" spans="1:12" x14ac:dyDescent="0.2">
      <c r="A96" s="19" t="str">
        <v>CTD-008</v>
      </c>
      <c r="B96" s="19">
        <v>5</v>
      </c>
      <c r="C96" s="19" t="str">
        <v>No problems noted</v>
      </c>
      <c r="D96" s="19">
        <v>2250</v>
      </c>
      <c r="E96" s="19" t="str">
        <v>OXY-314</v>
      </c>
      <c r="F96" s="19">
        <f>LOOKUP(E96,'++OxygenParameters++'!A:A,'++OxygenParameters++'!B:B)</f>
        <v>134.46</v>
      </c>
      <c r="G96" s="19">
        <v>0.2</v>
      </c>
      <c r="H96" s="28">
        <v>7</v>
      </c>
      <c r="I96" s="19">
        <f t="shared" si="13"/>
        <v>0.52800000000000002</v>
      </c>
      <c r="J96" s="19">
        <f t="shared" si="14"/>
        <v>-2.0000000000000018E-3</v>
      </c>
      <c r="K96" s="3">
        <f t="shared" si="15"/>
        <v>1.5978992590144692</v>
      </c>
      <c r="L96" s="19"/>
    </row>
    <row r="97" spans="1:12" x14ac:dyDescent="0.2">
      <c r="A97" s="19" t="str">
        <v>CTD-008</v>
      </c>
      <c r="B97" s="19">
        <v>7</v>
      </c>
      <c r="C97" s="19" t="str">
        <v>No problems noted</v>
      </c>
      <c r="D97" s="19">
        <v>2000</v>
      </c>
      <c r="E97" s="19" t="str">
        <v>OXY-315</v>
      </c>
      <c r="F97" s="19">
        <f>LOOKUP(E97,'++OxygenParameters++'!A:A,'++OxygenParameters++'!B:B)</f>
        <v>132.76</v>
      </c>
      <c r="G97" s="19">
        <v>0.17599999999999999</v>
      </c>
      <c r="H97" s="28">
        <v>7</v>
      </c>
      <c r="I97" s="19">
        <f t="shared" si="13"/>
        <v>0.52800000000000002</v>
      </c>
      <c r="J97" s="19">
        <f t="shared" si="14"/>
        <v>-2.0000000000000018E-3</v>
      </c>
      <c r="K97" s="3">
        <f t="shared" si="15"/>
        <v>1.4248111187426773</v>
      </c>
      <c r="L97" s="19"/>
    </row>
    <row r="98" spans="1:12" x14ac:dyDescent="0.2">
      <c r="A98" s="19" t="str">
        <v>CTD-008</v>
      </c>
      <c r="B98" s="19">
        <v>9</v>
      </c>
      <c r="C98" s="19" t="str">
        <v>No problems noted</v>
      </c>
      <c r="D98" s="19">
        <v>1750</v>
      </c>
      <c r="E98" s="19" t="str">
        <v>OXY-316</v>
      </c>
      <c r="F98" s="19">
        <f>LOOKUP(E98,'++OxygenParameters++'!A:A,'++OxygenParameters++'!B:B)</f>
        <v>145.56</v>
      </c>
      <c r="G98" s="19">
        <v>0.14399999999999999</v>
      </c>
      <c r="H98" s="28">
        <v>7</v>
      </c>
      <c r="I98" s="19">
        <f t="shared" si="13"/>
        <v>0.52800000000000002</v>
      </c>
      <c r="J98" s="19">
        <f t="shared" si="14"/>
        <v>-2.0000000000000018E-3</v>
      </c>
      <c r="K98" s="3">
        <f t="shared" si="15"/>
        <v>1.062336699664068</v>
      </c>
      <c r="L98" s="19"/>
    </row>
    <row r="99" spans="1:12" x14ac:dyDescent="0.2">
      <c r="A99" s="19" t="str">
        <v>CTD-008</v>
      </c>
      <c r="B99" s="19">
        <v>11</v>
      </c>
      <c r="C99" s="19" t="str">
        <v>No problems noted</v>
      </c>
      <c r="D99" s="19">
        <v>1500</v>
      </c>
      <c r="E99" s="19" t="str">
        <v>OXY-317A</v>
      </c>
      <c r="F99" s="19">
        <f>LOOKUP(E99,'++OxygenParameters++'!A:A,'++OxygenParameters++'!B:B)</f>
        <v>137.24</v>
      </c>
      <c r="G99" s="19">
        <v>0.09</v>
      </c>
      <c r="H99" s="28">
        <v>7</v>
      </c>
      <c r="I99" s="19">
        <f t="shared" si="13"/>
        <v>0.52800000000000002</v>
      </c>
      <c r="J99" s="19">
        <f t="shared" si="14"/>
        <v>-2.0000000000000018E-3</v>
      </c>
      <c r="K99" s="3">
        <f t="shared" si="15"/>
        <v>0.70595112532297555</v>
      </c>
      <c r="L99" s="19"/>
    </row>
    <row r="100" spans="1:12" x14ac:dyDescent="0.2">
      <c r="A100" s="19" t="str">
        <v>CTD-008</v>
      </c>
      <c r="B100" s="19">
        <v>13</v>
      </c>
      <c r="C100" s="19" t="str">
        <v>No problems noted</v>
      </c>
      <c r="D100" s="19">
        <v>1250</v>
      </c>
      <c r="E100" s="19" t="str">
        <v>OXY-318</v>
      </c>
      <c r="F100" s="19">
        <f>LOOKUP(E100,'++OxygenParameters++'!A:A,'++OxygenParameters++'!B:B)</f>
        <v>127.31</v>
      </c>
      <c r="G100" s="19">
        <v>4.5999999999999999E-2</v>
      </c>
      <c r="H100" s="28">
        <v>7</v>
      </c>
      <c r="I100" s="19">
        <f t="shared" si="13"/>
        <v>0.52800000000000002</v>
      </c>
      <c r="J100" s="19">
        <f t="shared" si="14"/>
        <v>-2.0000000000000018E-3</v>
      </c>
      <c r="K100" s="3">
        <f t="shared" si="15"/>
        <v>0.39102121079345853</v>
      </c>
      <c r="L100" s="19"/>
    </row>
    <row r="101" spans="1:12" x14ac:dyDescent="0.2">
      <c r="A101" s="19" t="str">
        <v>CTD-008</v>
      </c>
      <c r="B101" s="19">
        <v>17</v>
      </c>
      <c r="C101" s="19" t="str">
        <v>No problems noted</v>
      </c>
      <c r="D101" s="19">
        <v>750</v>
      </c>
      <c r="E101" s="19" t="str">
        <v>OXY-319</v>
      </c>
      <c r="F101" s="19">
        <f>LOOKUP(E101,'++OxygenParameters++'!A:A,'++OxygenParameters++'!B:B)</f>
        <v>141.15</v>
      </c>
      <c r="G101" s="19">
        <v>3.5999999999999997E-2</v>
      </c>
      <c r="H101" s="28">
        <v>7</v>
      </c>
      <c r="I101" s="19">
        <f t="shared" si="13"/>
        <v>0.52800000000000002</v>
      </c>
      <c r="J101" s="19">
        <f t="shared" si="14"/>
        <v>-2.0000000000000018E-3</v>
      </c>
      <c r="K101" s="3">
        <f t="shared" si="15"/>
        <v>0.27622424558810565</v>
      </c>
      <c r="L101" s="19"/>
    </row>
    <row r="102" spans="1:12" x14ac:dyDescent="0.2">
      <c r="A102" s="19" t="str">
        <v>CTD-008</v>
      </c>
      <c r="B102" s="19">
        <v>19</v>
      </c>
      <c r="C102" s="19" t="str">
        <v>No problems noted</v>
      </c>
      <c r="D102" s="19">
        <v>500</v>
      </c>
      <c r="E102" s="19" t="str">
        <v>OXY-320</v>
      </c>
      <c r="F102" s="19">
        <f>LOOKUP(E102,'++OxygenParameters++'!A:A,'++OxygenParameters++'!B:B)</f>
        <v>131.1</v>
      </c>
      <c r="G102" s="19">
        <v>0.1</v>
      </c>
      <c r="H102" s="28">
        <v>7</v>
      </c>
      <c r="I102" s="19">
        <f t="shared" si="13"/>
        <v>0.52800000000000002</v>
      </c>
      <c r="J102" s="19">
        <f t="shared" si="14"/>
        <v>-2.0000000000000018E-3</v>
      </c>
      <c r="K102" s="3">
        <f t="shared" si="15"/>
        <v>0.82134077722403276</v>
      </c>
      <c r="L102" s="19"/>
    </row>
    <row r="103" spans="1:12" x14ac:dyDescent="0.2">
      <c r="A103" s="19" t="str">
        <v>CTD-008</v>
      </c>
      <c r="B103" s="19">
        <v>21</v>
      </c>
      <c r="C103" s="19" t="str">
        <v>No problems noted</v>
      </c>
      <c r="D103" s="19">
        <v>300</v>
      </c>
      <c r="E103" s="19" t="str">
        <v>OXY-321A</v>
      </c>
      <c r="F103" s="19">
        <f>LOOKUP(E103,'++OxygenParameters++'!A:A,'++OxygenParameters++'!B:B)</f>
        <v>139.88999999999999</v>
      </c>
      <c r="G103" s="19">
        <v>0.24</v>
      </c>
      <c r="H103" s="28">
        <v>7</v>
      </c>
      <c r="I103" s="19">
        <f t="shared" si="13"/>
        <v>0.52800000000000002</v>
      </c>
      <c r="J103" s="19">
        <f t="shared" si="14"/>
        <v>-2.0000000000000018E-3</v>
      </c>
      <c r="K103" s="3">
        <f t="shared" si="15"/>
        <v>1.841372053468926</v>
      </c>
      <c r="L103" s="19"/>
    </row>
    <row r="104" spans="1:12" x14ac:dyDescent="0.2">
      <c r="A104" s="19" t="str">
        <v>CTD-008</v>
      </c>
      <c r="B104" s="19">
        <v>21</v>
      </c>
      <c r="C104" s="19" t="str">
        <v>No problems noted</v>
      </c>
      <c r="D104" s="19">
        <v>300</v>
      </c>
      <c r="E104" s="19" t="str">
        <v>OXY-322</v>
      </c>
      <c r="F104" s="19">
        <f>LOOKUP(E104,'++OxygenParameters++'!A:A,'++OxygenParameters++'!B:B)</f>
        <v>128.54</v>
      </c>
      <c r="G104" s="19">
        <v>0.22</v>
      </c>
      <c r="H104" s="28">
        <v>7</v>
      </c>
      <c r="I104" s="19">
        <f t="shared" si="13"/>
        <v>0.52800000000000002</v>
      </c>
      <c r="J104" s="19">
        <f t="shared" si="14"/>
        <v>-2.0000000000000018E-3</v>
      </c>
      <c r="K104" s="3">
        <f t="shared" si="15"/>
        <v>1.8395943112924247</v>
      </c>
      <c r="L104" s="19"/>
    </row>
    <row r="105" spans="1:12" x14ac:dyDescent="0.2">
      <c r="A105" s="19" t="str">
        <v>CTD-008</v>
      </c>
      <c r="B105" s="19">
        <v>23</v>
      </c>
      <c r="C105" s="19" t="str">
        <v>No problems noted</v>
      </c>
      <c r="D105" s="19">
        <v>200</v>
      </c>
      <c r="E105" s="19" t="str">
        <v>OXY-323</v>
      </c>
      <c r="F105" s="19">
        <f>LOOKUP(E105,'++OxygenParameters++'!A:A,'++OxygenParameters++'!B:B)</f>
        <v>144.28</v>
      </c>
      <c r="G105" s="19">
        <v>0.45800000000000002</v>
      </c>
      <c r="H105" s="28">
        <v>7</v>
      </c>
      <c r="I105" s="19">
        <f t="shared" si="13"/>
        <v>0.52800000000000002</v>
      </c>
      <c r="J105" s="19">
        <f t="shared" si="14"/>
        <v>-2.0000000000000018E-3</v>
      </c>
      <c r="K105" s="3">
        <f t="shared" si="15"/>
        <v>3.4028967595122035</v>
      </c>
      <c r="L105" s="19"/>
    </row>
    <row r="106" spans="1:12" x14ac:dyDescent="0.2">
      <c r="A106" s="19" t="str">
        <v>J2-1554</v>
      </c>
      <c r="B106" s="19" t="str">
        <v>Forward Port</v>
      </c>
      <c r="C106" s="19" t="str">
        <v>No problems noted</v>
      </c>
      <c r="D106" s="19">
        <v>2607</v>
      </c>
      <c r="E106" s="19" t="str">
        <v>OXY-313A</v>
      </c>
      <c r="F106" s="19">
        <f>LOOKUP(E106,'++OxygenParameters++'!A:A,'++OxygenParameters++'!B:B)</f>
        <v>138.97</v>
      </c>
      <c r="G106" s="19">
        <v>0.22</v>
      </c>
      <c r="H106" s="28">
        <v>7</v>
      </c>
      <c r="I106" s="19">
        <f t="shared" si="13"/>
        <v>0.52800000000000002</v>
      </c>
      <c r="J106" s="19">
        <f t="shared" si="14"/>
        <v>-2.0000000000000018E-3</v>
      </c>
      <c r="K106" s="3">
        <f t="shared" si="15"/>
        <v>1.6995127703215551</v>
      </c>
      <c r="L106" s="19"/>
    </row>
    <row r="107" spans="1:12" x14ac:dyDescent="0.2">
      <c r="A107" s="19" t="str">
        <v>J2-1554</v>
      </c>
      <c r="B107" s="19" t="str">
        <v>Forward Port</v>
      </c>
      <c r="C107" s="19" t="str">
        <v>No problems noted</v>
      </c>
      <c r="D107" s="19">
        <v>2607</v>
      </c>
      <c r="E107" s="19" t="str">
        <v>OXY-314</v>
      </c>
      <c r="F107" s="19">
        <f>LOOKUP(E107,'++OxygenParameters++'!A:A,'++OxygenParameters++'!B:B)</f>
        <v>134.46</v>
      </c>
      <c r="G107" s="19">
        <v>0.23200000000000001</v>
      </c>
      <c r="H107" s="28">
        <v>7</v>
      </c>
      <c r="I107" s="19">
        <f t="shared" si="13"/>
        <v>0.52800000000000002</v>
      </c>
      <c r="J107" s="19">
        <f t="shared" si="14"/>
        <v>-2.0000000000000018E-3</v>
      </c>
      <c r="K107" s="3">
        <f t="shared" si="15"/>
        <v>1.8530649338070022</v>
      </c>
      <c r="L107" s="19"/>
    </row>
    <row r="108" spans="1:12" x14ac:dyDescent="0.2">
      <c r="A108" s="19" t="str">
        <v>CTD-009</v>
      </c>
      <c r="B108" s="19">
        <v>3</v>
      </c>
      <c r="C108" s="19" t="str">
        <v>No problems noted</v>
      </c>
      <c r="D108" s="19">
        <v>525</v>
      </c>
      <c r="E108" s="19" t="str">
        <v>OXY-313A</v>
      </c>
      <c r="F108" s="19">
        <f>LOOKUP(E108,'++OxygenParameters++'!A:A,'++OxygenParameters++'!B:B)</f>
        <v>138.97</v>
      </c>
      <c r="G108" s="19">
        <v>9.4E-2</v>
      </c>
      <c r="H108" s="28">
        <v>8</v>
      </c>
      <c r="I108" s="19">
        <f t="shared" si="13"/>
        <v>0.52300000000000002</v>
      </c>
      <c r="J108" s="19">
        <f t="shared" si="14"/>
        <v>0</v>
      </c>
      <c r="K108" s="3">
        <f t="shared" si="15"/>
        <v>0.72215922566678359</v>
      </c>
      <c r="L108" s="19"/>
    </row>
    <row r="109" spans="1:12" x14ac:dyDescent="0.2">
      <c r="A109" s="19" t="str">
        <v>CTD-009</v>
      </c>
      <c r="B109" s="19">
        <v>5</v>
      </c>
      <c r="C109" s="19" t="str">
        <v>No problems noted</v>
      </c>
      <c r="D109" s="19">
        <v>500</v>
      </c>
      <c r="E109" s="19" t="str">
        <v>OXY-314</v>
      </c>
      <c r="F109" s="19">
        <f>LOOKUP(E109,'++OxygenParameters++'!A:A,'++OxygenParameters++'!B:B)</f>
        <v>134.46</v>
      </c>
      <c r="G109" s="19">
        <v>0.112</v>
      </c>
      <c r="H109" s="28">
        <v>8</v>
      </c>
      <c r="I109" s="19">
        <f t="shared" si="13"/>
        <v>0.52300000000000002</v>
      </c>
      <c r="J109" s="19">
        <f t="shared" si="14"/>
        <v>0</v>
      </c>
      <c r="K109" s="3">
        <f t="shared" si="15"/>
        <v>0.8921990664088788</v>
      </c>
      <c r="L109" s="19"/>
    </row>
    <row r="110" spans="1:12" x14ac:dyDescent="0.2">
      <c r="A110" s="19" t="str">
        <v>CTD-009</v>
      </c>
      <c r="B110" s="19">
        <v>7</v>
      </c>
      <c r="C110" s="19" t="str">
        <v>No problems noted</v>
      </c>
      <c r="D110" s="19">
        <v>450</v>
      </c>
      <c r="E110" s="19" t="str">
        <v>OXY-315</v>
      </c>
      <c r="F110" s="19">
        <f>LOOKUP(E110,'++OxygenParameters++'!A:A,'++OxygenParameters++'!B:B)</f>
        <v>132.76</v>
      </c>
      <c r="G110" s="19">
        <v>0.12</v>
      </c>
      <c r="H110" s="28">
        <v>8</v>
      </c>
      <c r="I110" s="19">
        <f t="shared" si="13"/>
        <v>0.52300000000000002</v>
      </c>
      <c r="J110" s="19">
        <f t="shared" si="14"/>
        <v>0</v>
      </c>
      <c r="K110" s="3">
        <f t="shared" si="15"/>
        <v>0.9692841438228168</v>
      </c>
      <c r="L110" s="19"/>
    </row>
    <row r="111" spans="1:12" x14ac:dyDescent="0.2">
      <c r="A111" s="19" t="str">
        <v>CTD-009</v>
      </c>
      <c r="B111" s="19">
        <v>9</v>
      </c>
      <c r="C111" s="19" t="str">
        <v>No problems noted</v>
      </c>
      <c r="D111" s="19">
        <v>400</v>
      </c>
      <c r="E111" s="19" t="str">
        <v>OXY-316</v>
      </c>
      <c r="F111" s="19">
        <f>LOOKUP(E111,'++OxygenParameters++'!A:A,'++OxygenParameters++'!B:B)</f>
        <v>145.56</v>
      </c>
      <c r="G111" s="19">
        <v>0.114</v>
      </c>
      <c r="H111" s="28">
        <v>8</v>
      </c>
      <c r="I111" s="19">
        <f t="shared" si="13"/>
        <v>0.52300000000000002</v>
      </c>
      <c r="J111" s="19">
        <f t="shared" si="14"/>
        <v>0</v>
      </c>
      <c r="K111" s="3">
        <f t="shared" si="15"/>
        <v>0.83812632288909128</v>
      </c>
      <c r="L111" s="19"/>
    </row>
    <row r="112" spans="1:12" x14ac:dyDescent="0.2">
      <c r="A112" s="19" t="str">
        <v>CTD-009</v>
      </c>
      <c r="B112" s="19">
        <v>11</v>
      </c>
      <c r="C112" s="19" t="str">
        <v>No problems noted</v>
      </c>
      <c r="D112" s="19">
        <v>350</v>
      </c>
      <c r="E112" s="19" t="str">
        <v>OXY-317A</v>
      </c>
      <c r="F112" s="19">
        <f>LOOKUP(E112,'++OxygenParameters++'!A:A,'++OxygenParameters++'!B:B)</f>
        <v>137.24</v>
      </c>
      <c r="G112" s="19">
        <v>0.20399999999999999</v>
      </c>
      <c r="H112" s="28">
        <v>8</v>
      </c>
      <c r="I112" s="19">
        <f t="shared" si="13"/>
        <v>0.52300000000000002</v>
      </c>
      <c r="J112" s="19">
        <f t="shared" si="14"/>
        <v>0</v>
      </c>
      <c r="K112" s="3">
        <f t="shared" si="15"/>
        <v>1.6019972707679795</v>
      </c>
      <c r="L112" s="19"/>
    </row>
    <row r="113" spans="1:12" x14ac:dyDescent="0.2">
      <c r="A113" s="19" t="str">
        <v>CTD-009</v>
      </c>
      <c r="B113" s="19">
        <v>13</v>
      </c>
      <c r="C113" s="19" t="str">
        <v>No problems noted</v>
      </c>
      <c r="D113" s="19">
        <v>325</v>
      </c>
      <c r="E113" s="19" t="str">
        <v>OXY-318</v>
      </c>
      <c r="F113" s="19">
        <f>LOOKUP(E113,'++OxygenParameters++'!A:A,'++OxygenParameters++'!B:B)</f>
        <v>127.31</v>
      </c>
      <c r="G113" s="19">
        <v>0.25800000000000001</v>
      </c>
      <c r="H113" s="28">
        <v>8</v>
      </c>
      <c r="I113" s="19">
        <f t="shared" ref="I113:I118" si="16">LOOKUP(H113,M:M,V:V)</f>
        <v>0.52300000000000002</v>
      </c>
      <c r="J113" s="19">
        <f t="shared" ref="J113:J118" si="17">LOOKUP(H113,M:M,W:W)</f>
        <v>0</v>
      </c>
      <c r="K113" s="3">
        <f t="shared" si="15"/>
        <v>2.1901981365372576</v>
      </c>
      <c r="L113" s="19"/>
    </row>
    <row r="114" spans="1:12" x14ac:dyDescent="0.2">
      <c r="A114" s="19" t="str">
        <v>CTD-009</v>
      </c>
      <c r="B114" s="19">
        <v>17</v>
      </c>
      <c r="C114" s="19" t="str">
        <v>No problems noted</v>
      </c>
      <c r="D114" s="19">
        <v>275</v>
      </c>
      <c r="E114" s="19" t="str">
        <v>OXY-319</v>
      </c>
      <c r="F114" s="19">
        <f>LOOKUP(E114,'++OxygenParameters++'!A:A,'++OxygenParameters++'!B:B)</f>
        <v>141.15</v>
      </c>
      <c r="G114" s="19">
        <v>0.29199999999999998</v>
      </c>
      <c r="H114" s="28">
        <v>8</v>
      </c>
      <c r="I114" s="19">
        <f t="shared" si="16"/>
        <v>0.52300000000000002</v>
      </c>
      <c r="J114" s="19">
        <f t="shared" si="17"/>
        <v>0</v>
      </c>
      <c r="K114" s="3">
        <f t="shared" si="15"/>
        <v>2.2338920611277566</v>
      </c>
      <c r="L114" s="19"/>
    </row>
    <row r="115" spans="1:12" x14ac:dyDescent="0.2">
      <c r="A115" s="19" t="str">
        <v>CTD-009</v>
      </c>
      <c r="B115" s="19">
        <v>19</v>
      </c>
      <c r="C115" s="19" t="str">
        <v>No problems noted</v>
      </c>
      <c r="D115" s="19">
        <v>250</v>
      </c>
      <c r="E115" s="19" t="str">
        <v>OXY-320</v>
      </c>
      <c r="F115" s="19">
        <f>LOOKUP(E115,'++OxygenParameters++'!A:A,'++OxygenParameters++'!B:B)</f>
        <v>131.1</v>
      </c>
      <c r="G115" s="19">
        <v>0.31</v>
      </c>
      <c r="H115" s="28">
        <v>8</v>
      </c>
      <c r="I115" s="19">
        <f t="shared" si="16"/>
        <v>0.52300000000000002</v>
      </c>
      <c r="J115" s="19">
        <f t="shared" si="17"/>
        <v>0</v>
      </c>
      <c r="K115" s="3">
        <f t="shared" si="15"/>
        <v>2.5570303602081186</v>
      </c>
      <c r="L115" s="19"/>
    </row>
    <row r="116" spans="1:12" x14ac:dyDescent="0.2">
      <c r="A116" s="19" t="str">
        <v>CTD-009</v>
      </c>
      <c r="B116" s="19">
        <v>21</v>
      </c>
      <c r="C116" s="19" t="str">
        <v>No problems noted</v>
      </c>
      <c r="D116" s="19">
        <v>225</v>
      </c>
      <c r="E116" s="19" t="str">
        <v>OXY-321A</v>
      </c>
      <c r="F116" s="19">
        <f>LOOKUP(E116,'++OxygenParameters++'!A:A,'++OxygenParameters++'!B:B)</f>
        <v>139.88999999999999</v>
      </c>
      <c r="G116" s="19">
        <v>0.26600000000000001</v>
      </c>
      <c r="H116" s="28">
        <v>8</v>
      </c>
      <c r="I116" s="19">
        <f t="shared" si="16"/>
        <v>0.52300000000000002</v>
      </c>
      <c r="J116" s="19">
        <f t="shared" si="17"/>
        <v>0</v>
      </c>
      <c r="K116" s="3">
        <f t="shared" si="15"/>
        <v>2.0524812154560537</v>
      </c>
      <c r="L116" s="19"/>
    </row>
    <row r="117" spans="1:12" x14ac:dyDescent="0.2">
      <c r="A117" s="19" t="str">
        <v>CTD-009</v>
      </c>
      <c r="B117" s="19">
        <v>23</v>
      </c>
      <c r="C117" s="19" t="str">
        <v>No problems noted</v>
      </c>
      <c r="D117" s="19">
        <v>200</v>
      </c>
      <c r="E117" s="19" t="str">
        <v>OXY-322</v>
      </c>
      <c r="F117" s="19">
        <f>LOOKUP(E117,'++OxygenParameters++'!A:A,'++OxygenParameters++'!B:B)</f>
        <v>128.54</v>
      </c>
      <c r="G117" s="19">
        <v>0.23599999999999999</v>
      </c>
      <c r="H117" s="28">
        <v>8</v>
      </c>
      <c r="I117" s="19">
        <f t="shared" si="16"/>
        <v>0.52300000000000002</v>
      </c>
      <c r="J117" s="19">
        <f t="shared" si="17"/>
        <v>0</v>
      </c>
      <c r="K117" s="3">
        <f t="shared" si="15"/>
        <v>1.9828175765581422</v>
      </c>
      <c r="L117" s="19"/>
    </row>
    <row r="118" spans="1:12" x14ac:dyDescent="0.2">
      <c r="A118" s="19" t="str">
        <v>CTD-009</v>
      </c>
      <c r="B118" s="19">
        <v>23</v>
      </c>
      <c r="C118" s="19" t="str">
        <v>No problems noted</v>
      </c>
      <c r="D118" s="19">
        <v>200</v>
      </c>
      <c r="E118" s="19" t="str">
        <v>OXY-323</v>
      </c>
      <c r="F118" s="19">
        <f>LOOKUP(E118,'++OxygenParameters++'!A:A,'++OxygenParameters++'!B:B)</f>
        <v>144.28</v>
      </c>
      <c r="G118" s="19">
        <v>0.26400000000000001</v>
      </c>
      <c r="H118" s="28">
        <v>8</v>
      </c>
      <c r="I118" s="19">
        <f t="shared" si="16"/>
        <v>0.52300000000000002</v>
      </c>
      <c r="J118" s="19">
        <f t="shared" si="17"/>
        <v>0</v>
      </c>
      <c r="K118" s="3">
        <f t="shared" si="15"/>
        <v>1.9741067488178055</v>
      </c>
      <c r="L118" s="19"/>
    </row>
  </sheetData>
  <mergeCells count="29">
    <mergeCell ref="A3:B3"/>
    <mergeCell ref="A4:B4"/>
    <mergeCell ref="J15:J16"/>
    <mergeCell ref="I15:I16"/>
    <mergeCell ref="D6:H6"/>
    <mergeCell ref="A15:A16"/>
    <mergeCell ref="B15:B16"/>
    <mergeCell ref="D15:D16"/>
    <mergeCell ref="E15:E16"/>
    <mergeCell ref="F15:F16"/>
    <mergeCell ref="G15:G16"/>
    <mergeCell ref="H15:H16"/>
    <mergeCell ref="C15:C16"/>
    <mergeCell ref="L15:L16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15:K16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72"/>
  <sheetViews>
    <sheetView workbookViewId="0">
      <selection activeCell="A2" sqref="A2:B2"/>
    </sheetView>
  </sheetViews>
  <sheetFormatPr baseColWidth="10" defaultRowHeight="16" x14ac:dyDescent="0.2"/>
  <cols>
    <col min="1" max="1" width="9.83203125" customWidth="1"/>
    <col min="2" max="2" width="11.83203125" bestFit="1" customWidth="1"/>
    <col min="3" max="3" width="17" bestFit="1" customWidth="1"/>
    <col min="4" max="4" width="23.33203125" bestFit="1" customWidth="1"/>
    <col min="5" max="5" width="21" bestFit="1" customWidth="1"/>
    <col min="6" max="6" width="21" customWidth="1"/>
    <col min="7" max="8" width="9.83203125" customWidth="1"/>
    <col min="9" max="9" width="11.33203125" customWidth="1"/>
    <col min="10" max="10" width="20.33203125" customWidth="1"/>
  </cols>
  <sheetData>
    <row r="1" spans="1:10" ht="17" customHeight="1" x14ac:dyDescent="0.2">
      <c r="A1" s="47" t="s">
        <v>12</v>
      </c>
      <c r="B1" s="47"/>
      <c r="C1" s="47"/>
      <c r="D1" s="47"/>
      <c r="E1" s="47"/>
      <c r="F1" s="47"/>
      <c r="G1" s="47"/>
      <c r="H1" s="47"/>
      <c r="I1" s="47"/>
    </row>
    <row r="2" spans="1:10" x14ac:dyDescent="0.2">
      <c r="A2" s="48" t="s">
        <v>1</v>
      </c>
      <c r="B2" s="48"/>
      <c r="C2" s="55" t="s">
        <v>317</v>
      </c>
      <c r="D2" s="55"/>
      <c r="E2" s="55"/>
      <c r="F2" s="55"/>
      <c r="G2" s="55"/>
      <c r="H2" s="55"/>
      <c r="I2" s="55"/>
    </row>
    <row r="3" spans="1:10" x14ac:dyDescent="0.2">
      <c r="A3" s="48"/>
      <c r="B3" s="48"/>
      <c r="C3" s="55"/>
      <c r="D3" s="55"/>
      <c r="E3" s="55"/>
      <c r="F3" s="55"/>
      <c r="G3" s="55"/>
      <c r="H3" s="55"/>
      <c r="I3" s="55"/>
    </row>
    <row r="4" spans="1:10" x14ac:dyDescent="0.2">
      <c r="A4" s="48"/>
      <c r="B4" s="48"/>
      <c r="C4" s="55"/>
      <c r="D4" s="55"/>
      <c r="E4" s="55"/>
      <c r="F4" s="55"/>
      <c r="G4" s="55"/>
      <c r="H4" s="55"/>
      <c r="I4" s="55"/>
    </row>
    <row r="5" spans="1:10" ht="13" customHeight="1" x14ac:dyDescent="0.2">
      <c r="A5" s="1"/>
      <c r="B5" s="1"/>
    </row>
    <row r="6" spans="1:10" x14ac:dyDescent="0.2">
      <c r="A6" s="46" t="s">
        <v>4</v>
      </c>
      <c r="B6" s="46"/>
      <c r="C6" s="51"/>
      <c r="D6" s="51"/>
      <c r="E6" s="51"/>
      <c r="F6" s="51"/>
      <c r="G6" s="51"/>
      <c r="H6" s="51"/>
      <c r="I6" s="51"/>
    </row>
    <row r="7" spans="1:10" ht="13" customHeight="1" x14ac:dyDescent="0.2"/>
    <row r="8" spans="1:10" ht="13" customHeight="1" x14ac:dyDescent="0.2">
      <c r="A8" s="52" t="s">
        <v>5</v>
      </c>
      <c r="B8" s="52" t="s">
        <v>7</v>
      </c>
      <c r="C8" s="52" t="s">
        <v>19</v>
      </c>
      <c r="D8" s="52" t="s">
        <v>6</v>
      </c>
      <c r="E8" s="57" t="s">
        <v>11</v>
      </c>
      <c r="F8" s="58" t="s">
        <v>235</v>
      </c>
      <c r="G8" s="58" t="s">
        <v>9</v>
      </c>
      <c r="H8" s="58" t="s">
        <v>13</v>
      </c>
      <c r="I8" s="58" t="s">
        <v>10</v>
      </c>
      <c r="J8" s="45" t="s">
        <v>0</v>
      </c>
    </row>
    <row r="9" spans="1:10" ht="15" customHeight="1" x14ac:dyDescent="0.2">
      <c r="A9" s="52"/>
      <c r="B9" s="52"/>
      <c r="C9" s="52"/>
      <c r="D9" s="52"/>
      <c r="E9" s="57"/>
      <c r="F9" s="59"/>
      <c r="G9" s="58"/>
      <c r="H9" s="59"/>
      <c r="I9" s="60"/>
      <c r="J9" s="45"/>
    </row>
    <row r="10" spans="1:10" x14ac:dyDescent="0.2">
      <c r="A10" s="19" t="str" cm="1">
        <f t="array" ref="A10:D72">(_xlfn._xlws.FILTER((SampleList!A2:INDEX(SampleList!D:D, ROWS(SampleList!Z:Z))),(SampleList!Z2:INDEX(SampleList!Z:Z, ROWS(SampleList!Z:Z)))&lt;&gt;""))</f>
        <v>CTD-001</v>
      </c>
      <c r="B10" s="19">
        <v>5</v>
      </c>
      <c r="C10" s="19" t="str">
        <v>No problems noted</v>
      </c>
      <c r="D10" s="19">
        <v>180</v>
      </c>
      <c r="E10" s="19" t="str" cm="1">
        <f t="array" ref="E10:E72">(_xlfn._xlws.FILTER((SampleList!Z2:INDEX(SampleList!Z:Z, ROWS(SampleList!Z:Z))),(SampleList!Z2:INDEX(SampleList!Z:Z, ROWS(SampleList!Z:Z)))&lt;&gt;""))</f>
        <v>CHL-010</v>
      </c>
      <c r="F10" s="37">
        <v>45155.409722222219</v>
      </c>
      <c r="G10" s="28">
        <v>500</v>
      </c>
      <c r="H10" s="28">
        <v>10</v>
      </c>
      <c r="I10" s="19">
        <v>1100</v>
      </c>
      <c r="J10" s="19"/>
    </row>
    <row r="11" spans="1:10" x14ac:dyDescent="0.2">
      <c r="A11" s="19" t="str">
        <v>CTD-001</v>
      </c>
      <c r="B11" s="19">
        <v>7</v>
      </c>
      <c r="C11" s="19" t="str">
        <v>No problems noted</v>
      </c>
      <c r="D11" s="19">
        <v>160</v>
      </c>
      <c r="E11" s="19" t="str">
        <v>CHL-037</v>
      </c>
      <c r="F11" s="37">
        <v>45155.430555555555</v>
      </c>
      <c r="G11" s="28">
        <v>500</v>
      </c>
      <c r="H11" s="28">
        <v>10</v>
      </c>
      <c r="I11" s="19">
        <v>1101</v>
      </c>
      <c r="J11" s="19"/>
    </row>
    <row r="12" spans="1:10" x14ac:dyDescent="0.2">
      <c r="A12" s="19" t="str">
        <v>CTD-001</v>
      </c>
      <c r="B12" s="19">
        <v>9</v>
      </c>
      <c r="C12" s="19" t="str">
        <v>No problems noted</v>
      </c>
      <c r="D12" s="19">
        <v>140</v>
      </c>
      <c r="E12" s="19" t="str">
        <v>CHL-026</v>
      </c>
      <c r="F12" s="37">
        <v>45155.4375</v>
      </c>
      <c r="G12" s="28">
        <v>500</v>
      </c>
      <c r="H12" s="28">
        <v>10</v>
      </c>
      <c r="I12" s="19">
        <v>1102</v>
      </c>
      <c r="J12" s="19"/>
    </row>
    <row r="13" spans="1:10" x14ac:dyDescent="0.2">
      <c r="A13" s="19" t="str">
        <v>CTD-001</v>
      </c>
      <c r="B13" s="19">
        <v>13</v>
      </c>
      <c r="C13" s="19" t="str">
        <v>No problems noted</v>
      </c>
      <c r="D13" s="19">
        <v>100</v>
      </c>
      <c r="E13" s="19" t="str">
        <v>CHL-003</v>
      </c>
      <c r="F13" s="37">
        <v>45155.440972222219</v>
      </c>
      <c r="G13" s="28">
        <v>500</v>
      </c>
      <c r="H13" s="28">
        <v>10</v>
      </c>
      <c r="I13" s="19">
        <v>1103</v>
      </c>
      <c r="J13" s="19"/>
    </row>
    <row r="14" spans="1:10" x14ac:dyDescent="0.2">
      <c r="A14" s="19" t="str">
        <v>CTD-001</v>
      </c>
      <c r="B14" s="19">
        <v>15</v>
      </c>
      <c r="C14" s="19" t="str">
        <v>No problems noted</v>
      </c>
      <c r="D14" s="19">
        <v>80</v>
      </c>
      <c r="E14" s="19" t="str">
        <v>CHL-013</v>
      </c>
      <c r="F14" s="37">
        <v>45155.445833333331</v>
      </c>
      <c r="G14" s="28">
        <v>500</v>
      </c>
      <c r="H14" s="28">
        <v>10</v>
      </c>
      <c r="I14" s="19">
        <v>1104</v>
      </c>
      <c r="J14" s="19"/>
    </row>
    <row r="15" spans="1:10" x14ac:dyDescent="0.2">
      <c r="A15" s="19" t="str">
        <v>CTD-001</v>
      </c>
      <c r="B15" s="19">
        <v>19</v>
      </c>
      <c r="C15" s="19" t="str">
        <v>No problems noted</v>
      </c>
      <c r="D15" s="19">
        <v>40</v>
      </c>
      <c r="E15" s="19" t="str">
        <v>CHL-011</v>
      </c>
      <c r="F15" s="37">
        <v>45155.458333333336</v>
      </c>
      <c r="G15" s="28">
        <v>500</v>
      </c>
      <c r="H15" s="28">
        <v>10</v>
      </c>
      <c r="I15" s="19">
        <v>1105</v>
      </c>
      <c r="J15" s="19"/>
    </row>
    <row r="16" spans="1:10" x14ac:dyDescent="0.2">
      <c r="A16" s="19" t="str">
        <v>CTD-001</v>
      </c>
      <c r="B16" s="19">
        <v>21</v>
      </c>
      <c r="C16" s="19" t="str">
        <v>No problems noted</v>
      </c>
      <c r="D16" s="19">
        <v>20</v>
      </c>
      <c r="E16" s="19" t="str">
        <v>CHL-009</v>
      </c>
      <c r="F16" s="37">
        <v>45155.465277777781</v>
      </c>
      <c r="G16" s="28">
        <v>500</v>
      </c>
      <c r="H16" s="28">
        <v>10</v>
      </c>
      <c r="I16" s="19">
        <v>1106</v>
      </c>
      <c r="J16" s="19"/>
    </row>
    <row r="17" spans="1:10" x14ac:dyDescent="0.2">
      <c r="A17" s="19" t="str">
        <v>CTD-001</v>
      </c>
      <c r="B17" s="19">
        <v>23</v>
      </c>
      <c r="C17" s="19" t="str">
        <v>No problems noted</v>
      </c>
      <c r="D17" s="19">
        <v>10</v>
      </c>
      <c r="E17" s="19" t="str">
        <v>CHL-039</v>
      </c>
      <c r="F17" s="37">
        <v>45155.466666666667</v>
      </c>
      <c r="G17" s="28">
        <v>500</v>
      </c>
      <c r="H17" s="28">
        <v>10</v>
      </c>
      <c r="I17" s="19">
        <v>1107</v>
      </c>
      <c r="J17" s="19"/>
    </row>
    <row r="18" spans="1:10" x14ac:dyDescent="0.2">
      <c r="A18" s="19" t="str">
        <v>CTD-002</v>
      </c>
      <c r="B18" s="19">
        <v>10</v>
      </c>
      <c r="C18" s="19" t="str">
        <v>No problems noted</v>
      </c>
      <c r="D18" s="19">
        <v>180</v>
      </c>
      <c r="E18" s="19" t="str">
        <v>CHL-038</v>
      </c>
      <c r="F18" s="37">
        <v>45155.472222222219</v>
      </c>
      <c r="G18" s="28">
        <v>500</v>
      </c>
      <c r="H18" s="28">
        <v>10</v>
      </c>
      <c r="I18" s="19">
        <v>1108</v>
      </c>
      <c r="J18" s="19"/>
    </row>
    <row r="19" spans="1:10" x14ac:dyDescent="0.2">
      <c r="A19" s="19" t="str">
        <v>CTD-002</v>
      </c>
      <c r="B19" s="19">
        <v>11</v>
      </c>
      <c r="C19" s="19" t="str">
        <v>No problems noted</v>
      </c>
      <c r="D19" s="19">
        <v>160</v>
      </c>
      <c r="E19" s="19" t="str">
        <v>CHL-032</v>
      </c>
      <c r="F19" s="37">
        <v>45155.475694444445</v>
      </c>
      <c r="G19" s="28">
        <v>500</v>
      </c>
      <c r="H19" s="28">
        <v>10</v>
      </c>
      <c r="I19" s="19">
        <v>1109</v>
      </c>
      <c r="J19" s="19"/>
    </row>
    <row r="20" spans="1:10" x14ac:dyDescent="0.2">
      <c r="A20" s="19" t="str">
        <v>CTD-002</v>
      </c>
      <c r="B20" s="19">
        <v>13</v>
      </c>
      <c r="C20" s="19" t="str">
        <v>No problems noted</v>
      </c>
      <c r="D20" s="19">
        <v>140</v>
      </c>
      <c r="E20" s="19" t="str">
        <v>CHL-024</v>
      </c>
      <c r="F20" s="37">
        <v>45155.482638888891</v>
      </c>
      <c r="G20" s="28">
        <v>500</v>
      </c>
      <c r="H20" s="28">
        <v>10</v>
      </c>
      <c r="I20" s="19">
        <v>1110</v>
      </c>
      <c r="J20" s="19"/>
    </row>
    <row r="21" spans="1:10" x14ac:dyDescent="0.2">
      <c r="A21" s="19" t="str">
        <v>CTD-002</v>
      </c>
      <c r="B21" s="19">
        <v>15</v>
      </c>
      <c r="C21" s="19" t="str">
        <v>No problems noted</v>
      </c>
      <c r="D21" s="19">
        <v>100</v>
      </c>
      <c r="E21" s="19" t="str">
        <v>CHL-020</v>
      </c>
      <c r="F21" s="37">
        <v>45155.48333333333</v>
      </c>
      <c r="G21" s="28">
        <v>500</v>
      </c>
      <c r="H21" s="28">
        <v>10</v>
      </c>
      <c r="I21" s="19">
        <v>1111</v>
      </c>
      <c r="J21" s="19"/>
    </row>
    <row r="22" spans="1:10" x14ac:dyDescent="0.2">
      <c r="A22" s="19" t="str">
        <v>CTD-002</v>
      </c>
      <c r="B22" s="19">
        <v>18</v>
      </c>
      <c r="C22" s="19" t="str">
        <v>No problems noted</v>
      </c>
      <c r="D22" s="19">
        <v>60</v>
      </c>
      <c r="E22" s="19" t="str">
        <v>CHL-012</v>
      </c>
      <c r="F22" s="37">
        <v>45155.493055555555</v>
      </c>
      <c r="G22" s="28">
        <v>500</v>
      </c>
      <c r="H22" s="28">
        <v>10</v>
      </c>
      <c r="I22" s="19">
        <v>1112</v>
      </c>
      <c r="J22" s="19"/>
    </row>
    <row r="23" spans="1:10" x14ac:dyDescent="0.2">
      <c r="A23" s="19" t="str">
        <v>CTD-002</v>
      </c>
      <c r="B23" s="19">
        <v>20</v>
      </c>
      <c r="C23" s="19" t="str">
        <v>No problems noted</v>
      </c>
      <c r="D23" s="19">
        <v>40</v>
      </c>
      <c r="E23" s="19" t="str">
        <v>CHL-025</v>
      </c>
      <c r="F23" s="37">
        <v>45155.496527777781</v>
      </c>
      <c r="G23" s="28">
        <v>500</v>
      </c>
      <c r="H23" s="28">
        <v>10</v>
      </c>
      <c r="I23" s="19">
        <v>1113</v>
      </c>
      <c r="J23" s="19"/>
    </row>
    <row r="24" spans="1:10" x14ac:dyDescent="0.2">
      <c r="A24" s="19" t="str">
        <v>CTD-002</v>
      </c>
      <c r="B24" s="19">
        <v>22</v>
      </c>
      <c r="C24" s="19" t="str">
        <v>No problems noted</v>
      </c>
      <c r="D24" s="19">
        <v>20</v>
      </c>
      <c r="E24" s="19" t="str">
        <v>CHL-007</v>
      </c>
      <c r="F24" s="37">
        <v>45155.531944444447</v>
      </c>
      <c r="G24" s="28">
        <v>500</v>
      </c>
      <c r="H24" s="28">
        <v>10</v>
      </c>
      <c r="I24" s="19">
        <v>1114</v>
      </c>
      <c r="J24" s="19"/>
    </row>
    <row r="25" spans="1:10" x14ac:dyDescent="0.2">
      <c r="A25" s="19" t="str">
        <v>CTD-002</v>
      </c>
      <c r="B25" s="19">
        <v>24</v>
      </c>
      <c r="C25" s="19" t="str">
        <v>No problems noted</v>
      </c>
      <c r="D25" s="19">
        <v>10</v>
      </c>
      <c r="E25" s="19" t="str">
        <v>CHL-008</v>
      </c>
      <c r="F25" s="37">
        <v>45155.537499999999</v>
      </c>
      <c r="G25" s="28">
        <v>500</v>
      </c>
      <c r="H25" s="28">
        <v>10</v>
      </c>
      <c r="I25" s="19">
        <v>1115</v>
      </c>
      <c r="J25" s="19"/>
    </row>
    <row r="26" spans="1:10" x14ac:dyDescent="0.2">
      <c r="A26" s="19" t="str">
        <v>J2-1523</v>
      </c>
      <c r="B26" s="19" t="str">
        <v>Aft Starboard</v>
      </c>
      <c r="C26" s="19" t="str">
        <v>No problems noted</v>
      </c>
      <c r="D26" s="19">
        <v>2901</v>
      </c>
      <c r="E26" s="19" t="str">
        <v>CHL-038</v>
      </c>
      <c r="F26" s="37">
        <v>45157.416666666664</v>
      </c>
      <c r="G26" s="28">
        <v>500</v>
      </c>
      <c r="H26" s="28">
        <v>10</v>
      </c>
      <c r="I26" s="28">
        <v>1116</v>
      </c>
      <c r="J26" s="19"/>
    </row>
    <row r="27" spans="1:10" x14ac:dyDescent="0.2">
      <c r="A27" s="19" t="str">
        <v>J2-1528</v>
      </c>
      <c r="B27" s="19" t="str">
        <v>Forward Port</v>
      </c>
      <c r="C27" s="19" t="str">
        <v>No problems noted</v>
      </c>
      <c r="D27" s="19">
        <v>80</v>
      </c>
      <c r="E27" s="19" t="str">
        <v>CHL-003</v>
      </c>
      <c r="F27" s="37">
        <v>45160.625</v>
      </c>
      <c r="G27" s="28">
        <v>500</v>
      </c>
      <c r="H27" s="28">
        <v>10</v>
      </c>
      <c r="I27" s="28">
        <v>1117</v>
      </c>
      <c r="J27" s="19"/>
    </row>
    <row r="28" spans="1:10" x14ac:dyDescent="0.2">
      <c r="A28" s="19" t="str">
        <v>CTD-003</v>
      </c>
      <c r="B28" s="19">
        <v>5</v>
      </c>
      <c r="C28" s="19" t="str">
        <v>No problems noted</v>
      </c>
      <c r="D28" s="19">
        <v>180</v>
      </c>
      <c r="E28" s="19" t="str">
        <v>CHL-003</v>
      </c>
      <c r="F28" s="37">
        <v>45163.491666666669</v>
      </c>
      <c r="G28" s="28">
        <v>500</v>
      </c>
      <c r="H28" s="28">
        <v>10</v>
      </c>
      <c r="I28" s="28">
        <v>1122</v>
      </c>
      <c r="J28" s="19"/>
    </row>
    <row r="29" spans="1:10" x14ac:dyDescent="0.2">
      <c r="A29" s="19" t="str">
        <v>CTD-003</v>
      </c>
      <c r="B29" s="19">
        <v>7</v>
      </c>
      <c r="C29" s="19" t="str">
        <v>No problems noted</v>
      </c>
      <c r="D29" s="19">
        <v>160</v>
      </c>
      <c r="E29" s="19" t="str">
        <v>CHL-009</v>
      </c>
      <c r="F29" s="37">
        <v>45163.459027777775</v>
      </c>
      <c r="G29" s="28">
        <v>500</v>
      </c>
      <c r="H29" s="28">
        <v>10</v>
      </c>
      <c r="I29" s="28">
        <v>1118</v>
      </c>
      <c r="J29" s="19"/>
    </row>
    <row r="30" spans="1:10" x14ac:dyDescent="0.2">
      <c r="A30" s="19" t="str">
        <v>CTD-003</v>
      </c>
      <c r="B30" s="19">
        <v>9</v>
      </c>
      <c r="C30" s="19" t="str">
        <v>No problems noted</v>
      </c>
      <c r="D30" s="19">
        <v>140</v>
      </c>
      <c r="E30" s="19" t="str">
        <v>CHL-020</v>
      </c>
      <c r="F30" s="37">
        <v>45163.47152777778</v>
      </c>
      <c r="G30" s="28">
        <v>500</v>
      </c>
      <c r="H30" s="28">
        <v>10</v>
      </c>
      <c r="I30" s="28">
        <v>1119</v>
      </c>
      <c r="J30" s="19"/>
    </row>
    <row r="31" spans="1:10" x14ac:dyDescent="0.2">
      <c r="A31" s="19" t="str">
        <v>CTD-003</v>
      </c>
      <c r="B31" s="19">
        <v>13</v>
      </c>
      <c r="C31" s="19" t="str">
        <v>No problems noted</v>
      </c>
      <c r="D31" s="19">
        <v>100</v>
      </c>
      <c r="E31" s="19" t="str">
        <v>CHL-025</v>
      </c>
      <c r="F31" s="37">
        <v>45163.576388888891</v>
      </c>
      <c r="G31" s="28">
        <v>500</v>
      </c>
      <c r="H31" s="28">
        <v>10</v>
      </c>
      <c r="I31" s="28">
        <v>1124</v>
      </c>
      <c r="J31" s="19"/>
    </row>
    <row r="32" spans="1:10" x14ac:dyDescent="0.2">
      <c r="A32" s="19" t="str">
        <v>CTD-003</v>
      </c>
      <c r="B32" s="19">
        <v>15</v>
      </c>
      <c r="C32" s="19" t="str">
        <v>No problems noted</v>
      </c>
      <c r="D32" s="19">
        <v>80</v>
      </c>
      <c r="E32" s="19" t="str">
        <v>CHL-038</v>
      </c>
      <c r="F32" s="37">
        <v>45163.515277777777</v>
      </c>
      <c r="G32" s="28">
        <v>500</v>
      </c>
      <c r="H32" s="28">
        <v>10</v>
      </c>
      <c r="I32" s="28">
        <v>1123</v>
      </c>
      <c r="J32" s="19"/>
    </row>
    <row r="33" spans="1:10" x14ac:dyDescent="0.2">
      <c r="A33" s="19" t="str">
        <v>CTD-003</v>
      </c>
      <c r="B33" s="19">
        <v>19</v>
      </c>
      <c r="C33" s="19" t="str">
        <v>No problems noted</v>
      </c>
      <c r="D33" s="19">
        <v>40</v>
      </c>
      <c r="E33" s="19" t="str">
        <v>CHL-024</v>
      </c>
      <c r="F33" s="37">
        <v>45163.477777777778</v>
      </c>
      <c r="G33" s="28">
        <v>500</v>
      </c>
      <c r="H33" s="28">
        <v>10</v>
      </c>
      <c r="I33" s="28">
        <v>1120</v>
      </c>
      <c r="J33" s="19"/>
    </row>
    <row r="34" spans="1:10" x14ac:dyDescent="0.2">
      <c r="A34" s="19" t="str">
        <v>CTD-003</v>
      </c>
      <c r="B34" s="19">
        <v>21</v>
      </c>
      <c r="C34" s="19" t="str">
        <v>No problems noted</v>
      </c>
      <c r="D34" s="19">
        <v>20</v>
      </c>
      <c r="E34" s="19" t="str">
        <v>CHL-037</v>
      </c>
      <c r="F34" s="37">
        <v>45163.484722222223</v>
      </c>
      <c r="G34" s="28">
        <v>500</v>
      </c>
      <c r="H34" s="28">
        <v>10</v>
      </c>
      <c r="I34" s="28">
        <v>1121</v>
      </c>
      <c r="J34" s="19"/>
    </row>
    <row r="35" spans="1:10" x14ac:dyDescent="0.2">
      <c r="A35" s="19" t="str">
        <v>CTD-003</v>
      </c>
      <c r="B35" s="19">
        <v>23</v>
      </c>
      <c r="C35" s="19" t="str">
        <v>No problems noted</v>
      </c>
      <c r="D35" s="19">
        <v>10</v>
      </c>
      <c r="E35" s="19" t="str">
        <v>CHL-026</v>
      </c>
      <c r="F35" s="37">
        <v>45163.584722222222</v>
      </c>
      <c r="G35" s="28">
        <v>500</v>
      </c>
      <c r="H35" s="28">
        <v>10</v>
      </c>
      <c r="I35" s="28">
        <v>1125</v>
      </c>
      <c r="J35" s="19"/>
    </row>
    <row r="36" spans="1:10" x14ac:dyDescent="0.2">
      <c r="A36" s="19" t="str">
        <v>CTD-004</v>
      </c>
      <c r="B36" s="19">
        <v>1</v>
      </c>
      <c r="C36" s="19" t="str">
        <v>No problems noted</v>
      </c>
      <c r="D36" s="19">
        <v>2600</v>
      </c>
      <c r="E36" s="19" t="str">
        <v>CHL-039</v>
      </c>
      <c r="F36" s="37">
        <v>45172.702777777777</v>
      </c>
      <c r="G36" s="28">
        <v>500</v>
      </c>
      <c r="H36" s="28">
        <v>10</v>
      </c>
      <c r="I36" s="28">
        <v>1128</v>
      </c>
      <c r="J36" s="19"/>
    </row>
    <row r="37" spans="1:10" x14ac:dyDescent="0.2">
      <c r="A37" s="19" t="str">
        <v>CTD-004</v>
      </c>
      <c r="B37" s="19">
        <v>7</v>
      </c>
      <c r="C37" s="19" t="str">
        <v>No problems noted</v>
      </c>
      <c r="D37" s="19">
        <v>2000</v>
      </c>
      <c r="E37" s="19" t="str">
        <v>CHL-009</v>
      </c>
      <c r="F37" s="37">
        <v>45172.70416666667</v>
      </c>
      <c r="G37" s="28">
        <v>475</v>
      </c>
      <c r="H37" s="28">
        <v>10</v>
      </c>
      <c r="I37" s="28">
        <v>1129</v>
      </c>
      <c r="J37" s="19" t="s">
        <v>461</v>
      </c>
    </row>
    <row r="38" spans="1:10" x14ac:dyDescent="0.2">
      <c r="A38" s="19" t="str">
        <v>CTD-004</v>
      </c>
      <c r="B38" s="19">
        <v>11</v>
      </c>
      <c r="C38" s="19" t="str">
        <v>No problems noted</v>
      </c>
      <c r="D38" s="19">
        <v>1000</v>
      </c>
      <c r="E38" s="19" t="str">
        <v>CHL-038</v>
      </c>
      <c r="F38" s="37">
        <v>45172.709027777775</v>
      </c>
      <c r="G38" s="28">
        <v>500</v>
      </c>
      <c r="H38" s="28">
        <v>10</v>
      </c>
      <c r="I38" s="28">
        <v>1130</v>
      </c>
      <c r="J38" s="19"/>
    </row>
    <row r="39" spans="1:10" x14ac:dyDescent="0.2">
      <c r="A39" s="19" t="str">
        <v>CTD-004</v>
      </c>
      <c r="B39" s="19">
        <v>15</v>
      </c>
      <c r="C39" s="19" t="str">
        <v>No problems noted</v>
      </c>
      <c r="D39" s="19">
        <v>250</v>
      </c>
      <c r="E39" s="19" t="str">
        <v>CHL-003</v>
      </c>
      <c r="F39" s="37">
        <v>45172.68472222222</v>
      </c>
      <c r="G39" s="28">
        <v>410</v>
      </c>
      <c r="H39" s="28">
        <v>10</v>
      </c>
      <c r="I39" s="28">
        <v>1126</v>
      </c>
      <c r="J39" s="19" t="s">
        <v>461</v>
      </c>
    </row>
    <row r="40" spans="1:10" x14ac:dyDescent="0.2">
      <c r="A40" s="19" t="str">
        <v>CTD-004</v>
      </c>
      <c r="B40" s="19">
        <v>21</v>
      </c>
      <c r="C40" s="19" t="str">
        <v>No problems noted</v>
      </c>
      <c r="D40" s="19">
        <v>30</v>
      </c>
      <c r="E40" s="19" t="str">
        <v>CHL-020</v>
      </c>
      <c r="F40" s="37">
        <v>45172.696527777778</v>
      </c>
      <c r="G40" s="28">
        <v>500</v>
      </c>
      <c r="H40" s="28">
        <v>10</v>
      </c>
      <c r="I40" s="28">
        <v>1127</v>
      </c>
      <c r="J40" s="19"/>
    </row>
    <row r="41" spans="1:10" x14ac:dyDescent="0.2">
      <c r="A41" s="19" t="str">
        <v>CTD-004</v>
      </c>
      <c r="B41" s="19">
        <v>23</v>
      </c>
      <c r="C41" s="19" t="str">
        <v>No problems noted</v>
      </c>
      <c r="D41" s="19">
        <v>10</v>
      </c>
      <c r="E41" s="19" t="str">
        <v>CHL-024</v>
      </c>
      <c r="F41" s="37">
        <v>45172.720138888886</v>
      </c>
      <c r="G41" s="28">
        <v>470</v>
      </c>
      <c r="H41" s="28">
        <v>10</v>
      </c>
      <c r="I41" s="28">
        <v>1131</v>
      </c>
      <c r="J41" s="19" t="s">
        <v>461</v>
      </c>
    </row>
    <row r="42" spans="1:10" x14ac:dyDescent="0.2">
      <c r="A42" s="19" t="str">
        <v>CTD-005</v>
      </c>
      <c r="B42" s="19">
        <v>3</v>
      </c>
      <c r="C42" s="19" t="str">
        <v>No problems noted</v>
      </c>
      <c r="D42" s="19">
        <v>550</v>
      </c>
      <c r="E42" s="19" t="str">
        <v>CHL-003</v>
      </c>
      <c r="F42" s="37">
        <v>45180.795138888891</v>
      </c>
      <c r="G42" s="28">
        <v>500</v>
      </c>
      <c r="H42" s="28">
        <v>10</v>
      </c>
      <c r="I42" s="28">
        <v>1137</v>
      </c>
      <c r="J42" s="19"/>
    </row>
    <row r="43" spans="1:10" x14ac:dyDescent="0.2">
      <c r="A43" s="19" t="str">
        <v>CTD-005</v>
      </c>
      <c r="B43" s="19">
        <v>7</v>
      </c>
      <c r="C43" s="19" t="str">
        <v>No problems noted</v>
      </c>
      <c r="D43" s="19">
        <v>450</v>
      </c>
      <c r="E43" s="19" t="str">
        <v>CHL-037</v>
      </c>
      <c r="F43" s="37">
        <v>45180.763888888891</v>
      </c>
      <c r="G43" s="28">
        <v>500</v>
      </c>
      <c r="H43" s="28">
        <v>10</v>
      </c>
      <c r="I43" s="28">
        <v>1132</v>
      </c>
      <c r="J43" s="19"/>
    </row>
    <row r="44" spans="1:10" x14ac:dyDescent="0.2">
      <c r="A44" s="19" t="str">
        <v>CTD-005</v>
      </c>
      <c r="B44" s="19">
        <v>11</v>
      </c>
      <c r="C44" s="19" t="str">
        <v>Leaking</v>
      </c>
      <c r="D44" s="19">
        <v>350</v>
      </c>
      <c r="E44" s="19" t="str">
        <v>CHL-020</v>
      </c>
      <c r="F44" s="37">
        <v>45180.782638888886</v>
      </c>
      <c r="G44" s="28">
        <v>500</v>
      </c>
      <c r="H44" s="28">
        <v>10</v>
      </c>
      <c r="I44" s="28">
        <v>1135</v>
      </c>
      <c r="J44" s="19"/>
    </row>
    <row r="45" spans="1:10" x14ac:dyDescent="0.2">
      <c r="A45" s="19" t="str">
        <v>CTD-005</v>
      </c>
      <c r="B45" s="19">
        <v>15</v>
      </c>
      <c r="C45" s="19" t="str">
        <v>No problems noted</v>
      </c>
      <c r="D45" s="19">
        <v>300</v>
      </c>
      <c r="E45" s="19" t="str">
        <v>CHL-024</v>
      </c>
      <c r="F45" s="37">
        <v>45180.784722222219</v>
      </c>
      <c r="G45" s="28">
        <v>500</v>
      </c>
      <c r="H45" s="28">
        <v>10</v>
      </c>
      <c r="I45" s="28">
        <v>1136</v>
      </c>
      <c r="J45" s="19"/>
    </row>
    <row r="46" spans="1:10" x14ac:dyDescent="0.2">
      <c r="A46" s="19" t="str">
        <v>CTD-005</v>
      </c>
      <c r="B46" s="19">
        <v>19</v>
      </c>
      <c r="C46" s="19" t="str">
        <v>No problems noted</v>
      </c>
      <c r="D46" s="19">
        <v>250</v>
      </c>
      <c r="E46" s="19" t="str">
        <v>CHL-016</v>
      </c>
      <c r="F46" s="37">
        <v>45180.777777777781</v>
      </c>
      <c r="G46" s="28">
        <v>500</v>
      </c>
      <c r="H46" s="28">
        <v>10</v>
      </c>
      <c r="I46" s="28">
        <v>1134</v>
      </c>
      <c r="J46" s="19"/>
    </row>
    <row r="47" spans="1:10" x14ac:dyDescent="0.2">
      <c r="A47" s="19" t="str">
        <v>CTD-005</v>
      </c>
      <c r="B47" s="19">
        <v>21</v>
      </c>
      <c r="C47" s="19" t="str">
        <v>No problems noted</v>
      </c>
      <c r="D47" s="19">
        <v>225</v>
      </c>
      <c r="E47" s="19" t="str">
        <v>CHL-015</v>
      </c>
      <c r="F47" s="37">
        <v>45180.774305555555</v>
      </c>
      <c r="G47" s="28">
        <v>500</v>
      </c>
      <c r="H47" s="28">
        <v>10</v>
      </c>
      <c r="I47" s="19">
        <v>1133</v>
      </c>
      <c r="J47" s="19"/>
    </row>
    <row r="48" spans="1:10" x14ac:dyDescent="0.2">
      <c r="A48" s="19" t="str">
        <v>CTD-006</v>
      </c>
      <c r="B48" s="19">
        <v>3</v>
      </c>
      <c r="C48" s="19" t="str">
        <v>No problems noted</v>
      </c>
      <c r="D48" s="19">
        <v>525</v>
      </c>
      <c r="E48" s="19" t="str">
        <v>CHL-038</v>
      </c>
      <c r="F48" s="37">
        <v>45180.829861111109</v>
      </c>
      <c r="G48" s="28">
        <v>500</v>
      </c>
      <c r="H48" s="28">
        <v>10</v>
      </c>
      <c r="I48" s="28">
        <v>1142</v>
      </c>
      <c r="J48" s="19"/>
    </row>
    <row r="49" spans="1:10" x14ac:dyDescent="0.2">
      <c r="A49" s="19" t="str">
        <v>CTD-006</v>
      </c>
      <c r="B49" s="19">
        <v>7</v>
      </c>
      <c r="C49" s="19" t="str">
        <v>No problems noted</v>
      </c>
      <c r="D49" s="19">
        <v>450</v>
      </c>
      <c r="E49" s="19" t="str">
        <v>CHL-012</v>
      </c>
      <c r="F49" s="37">
        <v>45180.802083333336</v>
      </c>
      <c r="G49" s="28">
        <v>500</v>
      </c>
      <c r="H49" s="28">
        <v>10</v>
      </c>
      <c r="I49" s="28">
        <v>1139</v>
      </c>
      <c r="J49" s="19"/>
    </row>
    <row r="50" spans="1:10" x14ac:dyDescent="0.2">
      <c r="A50" s="19" t="str">
        <v>CTD-006</v>
      </c>
      <c r="B50" s="19">
        <v>11</v>
      </c>
      <c r="C50" s="19" t="str">
        <v>No problems noted</v>
      </c>
      <c r="D50" s="19">
        <v>350</v>
      </c>
      <c r="E50" s="19" t="str">
        <v>CHL-026</v>
      </c>
      <c r="F50" s="37">
        <v>45180.831944444442</v>
      </c>
      <c r="G50" s="28">
        <v>500</v>
      </c>
      <c r="H50" s="28">
        <v>10</v>
      </c>
      <c r="I50" s="28">
        <v>1143</v>
      </c>
      <c r="J50" s="19"/>
    </row>
    <row r="51" spans="1:10" x14ac:dyDescent="0.2">
      <c r="A51" s="19" t="str">
        <v>CTD-006</v>
      </c>
      <c r="B51" s="19">
        <v>15</v>
      </c>
      <c r="C51" s="19" t="str">
        <v>No problems noted</v>
      </c>
      <c r="D51" s="19">
        <v>300</v>
      </c>
      <c r="E51" s="19" t="str">
        <v>CHL-032</v>
      </c>
      <c r="F51" s="37">
        <v>45180.822916666664</v>
      </c>
      <c r="G51" s="28">
        <v>500</v>
      </c>
      <c r="H51" s="28">
        <v>10</v>
      </c>
      <c r="I51" s="19">
        <v>1141</v>
      </c>
      <c r="J51" s="19"/>
    </row>
    <row r="52" spans="1:10" x14ac:dyDescent="0.2">
      <c r="A52" s="19" t="str">
        <v>CTD-006</v>
      </c>
      <c r="B52" s="19">
        <v>19</v>
      </c>
      <c r="C52" s="19" t="str">
        <v>No problems noted</v>
      </c>
      <c r="D52" s="19">
        <v>250</v>
      </c>
      <c r="E52" s="19" t="str">
        <v>CHL-010</v>
      </c>
      <c r="F52" s="37">
        <v>45180.819444444445</v>
      </c>
      <c r="G52" s="28">
        <v>500</v>
      </c>
      <c r="H52" s="28">
        <v>10</v>
      </c>
      <c r="I52" s="19">
        <v>1140</v>
      </c>
      <c r="J52" s="19" t="s">
        <v>524</v>
      </c>
    </row>
    <row r="53" spans="1:10" x14ac:dyDescent="0.2">
      <c r="A53" s="19" t="str">
        <v>CTD-006</v>
      </c>
      <c r="B53" s="19">
        <v>23</v>
      </c>
      <c r="C53" s="19" t="str">
        <v>No problems noted</v>
      </c>
      <c r="D53" s="19">
        <v>200</v>
      </c>
      <c r="E53" s="19" t="str">
        <v>CHL-004</v>
      </c>
      <c r="F53" s="37">
        <v>45180.795138888891</v>
      </c>
      <c r="G53" s="28">
        <v>500</v>
      </c>
      <c r="H53" s="28">
        <v>10</v>
      </c>
      <c r="I53" s="19">
        <v>1138</v>
      </c>
      <c r="J53" s="19"/>
    </row>
    <row r="54" spans="1:10" x14ac:dyDescent="0.2">
      <c r="A54" s="19" t="str">
        <v>CTD-007</v>
      </c>
      <c r="B54" s="19">
        <v>3</v>
      </c>
      <c r="C54" s="19" t="str">
        <v>No problems noted</v>
      </c>
      <c r="D54" s="19">
        <v>2750</v>
      </c>
      <c r="E54" s="19" t="str">
        <v>CHL-028</v>
      </c>
      <c r="F54" s="37">
        <v>45180.838194444441</v>
      </c>
      <c r="G54" s="28">
        <v>500</v>
      </c>
      <c r="H54" s="28">
        <v>10</v>
      </c>
      <c r="I54" s="19">
        <v>1145</v>
      </c>
      <c r="J54" s="19"/>
    </row>
    <row r="55" spans="1:10" x14ac:dyDescent="0.2">
      <c r="A55" s="19" t="str">
        <v>CTD-007</v>
      </c>
      <c r="B55" s="19">
        <v>7</v>
      </c>
      <c r="C55" s="19" t="str">
        <v>No problems noted</v>
      </c>
      <c r="D55" s="19">
        <v>2000</v>
      </c>
      <c r="E55" s="19" t="str">
        <v>CHL-013</v>
      </c>
      <c r="F55" s="37">
        <v>45180.847916666666</v>
      </c>
      <c r="G55" s="28">
        <v>500</v>
      </c>
      <c r="H55" s="28">
        <v>10</v>
      </c>
      <c r="I55" s="19">
        <v>1147</v>
      </c>
      <c r="J55" s="19"/>
    </row>
    <row r="56" spans="1:10" x14ac:dyDescent="0.2">
      <c r="A56" s="19" t="str">
        <v>CTD-007</v>
      </c>
      <c r="B56" s="19">
        <v>11</v>
      </c>
      <c r="C56" s="19" t="str">
        <v>No problems noted</v>
      </c>
      <c r="D56" s="19">
        <v>1500</v>
      </c>
      <c r="E56" s="19" t="str">
        <v>CHL-031</v>
      </c>
      <c r="F56" s="37">
        <v>45180.835416666669</v>
      </c>
      <c r="G56" s="28">
        <v>500</v>
      </c>
      <c r="H56" s="28">
        <v>10</v>
      </c>
      <c r="I56" s="19">
        <v>1144</v>
      </c>
      <c r="J56" s="19"/>
    </row>
    <row r="57" spans="1:10" x14ac:dyDescent="0.2">
      <c r="A57" s="19" t="str">
        <v>CTD-007</v>
      </c>
      <c r="B57" s="19">
        <v>15</v>
      </c>
      <c r="C57" s="19" t="str">
        <v>No problems noted</v>
      </c>
      <c r="D57" s="19">
        <v>1000</v>
      </c>
      <c r="E57" s="19" t="str">
        <v>CHL-039</v>
      </c>
      <c r="F57" s="37">
        <v>45180.850694444445</v>
      </c>
      <c r="G57" s="28">
        <v>500</v>
      </c>
      <c r="H57" s="28">
        <v>10</v>
      </c>
      <c r="I57" s="19">
        <v>1148</v>
      </c>
      <c r="J57" s="19"/>
    </row>
    <row r="58" spans="1:10" x14ac:dyDescent="0.2">
      <c r="A58" s="19" t="str">
        <v>CTD-007</v>
      </c>
      <c r="B58" s="19">
        <v>19</v>
      </c>
      <c r="C58" s="19" t="str">
        <v>No problems noted</v>
      </c>
      <c r="D58" s="19">
        <v>500</v>
      </c>
      <c r="E58" s="19" t="str">
        <v>CHL-002</v>
      </c>
      <c r="F58" s="37">
        <v>45180.845833333333</v>
      </c>
      <c r="G58" s="28">
        <v>500</v>
      </c>
      <c r="H58" s="28">
        <v>10</v>
      </c>
      <c r="I58" s="19">
        <v>1146</v>
      </c>
      <c r="J58" s="19"/>
    </row>
    <row r="59" spans="1:10" x14ac:dyDescent="0.2">
      <c r="A59" s="19" t="str">
        <v>CTD-007</v>
      </c>
      <c r="B59" s="19">
        <v>23</v>
      </c>
      <c r="C59" s="19" t="str">
        <v>No problems noted</v>
      </c>
      <c r="D59" s="19">
        <v>200</v>
      </c>
      <c r="E59" s="19" t="str">
        <v>CHL-001</v>
      </c>
      <c r="F59" s="37">
        <v>45180.852777777778</v>
      </c>
      <c r="G59" s="28">
        <v>500</v>
      </c>
      <c r="H59" s="28">
        <v>10</v>
      </c>
      <c r="I59" s="19">
        <v>1149</v>
      </c>
      <c r="J59" s="19"/>
    </row>
    <row r="60" spans="1:10" x14ac:dyDescent="0.2">
      <c r="A60" s="19" t="str">
        <v>CTD-008</v>
      </c>
      <c r="B60" s="19">
        <v>1</v>
      </c>
      <c r="C60" s="19" t="str">
        <v>No problems noted</v>
      </c>
      <c r="D60" s="19">
        <v>2590</v>
      </c>
      <c r="E60" s="19" t="str">
        <v>CHL-037</v>
      </c>
      <c r="F60" s="37">
        <v>45181.916666666664</v>
      </c>
      <c r="G60" s="28">
        <v>500</v>
      </c>
      <c r="H60" s="28">
        <v>10</v>
      </c>
      <c r="I60" s="19">
        <v>1155</v>
      </c>
      <c r="J60" s="19"/>
    </row>
    <row r="61" spans="1:10" x14ac:dyDescent="0.2">
      <c r="A61" s="19" t="str">
        <v>CTD-008</v>
      </c>
      <c r="B61" s="19">
        <v>5</v>
      </c>
      <c r="C61" s="19" t="str">
        <v>No problems noted</v>
      </c>
      <c r="D61" s="19">
        <v>2250</v>
      </c>
      <c r="E61" s="19" t="str">
        <v>CHL-020</v>
      </c>
      <c r="F61" s="37">
        <v>45181.913888888892</v>
      </c>
      <c r="G61" s="28">
        <v>500</v>
      </c>
      <c r="H61" s="28">
        <v>10</v>
      </c>
      <c r="I61" s="19">
        <v>1154</v>
      </c>
      <c r="J61" s="19"/>
    </row>
    <row r="62" spans="1:10" x14ac:dyDescent="0.2">
      <c r="A62" s="19" t="str">
        <v>CTD-008</v>
      </c>
      <c r="B62" s="19">
        <v>9</v>
      </c>
      <c r="C62" s="19" t="str">
        <v>No problems noted</v>
      </c>
      <c r="D62" s="19">
        <v>1750</v>
      </c>
      <c r="E62" s="19" t="str">
        <v>CHL-026</v>
      </c>
      <c r="F62" s="37">
        <v>45181.895833333336</v>
      </c>
      <c r="G62" s="28">
        <v>500</v>
      </c>
      <c r="H62" s="28">
        <v>10</v>
      </c>
      <c r="I62" s="19">
        <v>1150</v>
      </c>
      <c r="J62" s="19"/>
    </row>
    <row r="63" spans="1:10" x14ac:dyDescent="0.2">
      <c r="A63" s="19" t="str">
        <v>CTD-008</v>
      </c>
      <c r="B63" s="19">
        <v>13</v>
      </c>
      <c r="C63" s="19" t="str">
        <v>No problems noted</v>
      </c>
      <c r="D63" s="19">
        <v>1250</v>
      </c>
      <c r="E63" s="19" t="str">
        <v>CHL-031</v>
      </c>
      <c r="F63" s="37">
        <v>45181.902777777781</v>
      </c>
      <c r="G63" s="28">
        <v>500</v>
      </c>
      <c r="H63" s="28">
        <v>10</v>
      </c>
      <c r="I63" s="19">
        <v>1151</v>
      </c>
      <c r="J63" s="19"/>
    </row>
    <row r="64" spans="1:10" x14ac:dyDescent="0.2">
      <c r="A64" s="19" t="str">
        <v>CTD-008</v>
      </c>
      <c r="B64" s="19">
        <v>17</v>
      </c>
      <c r="C64" s="19" t="str">
        <v>No problems noted</v>
      </c>
      <c r="D64" s="19">
        <v>750</v>
      </c>
      <c r="E64" s="19" t="str">
        <v>CHL-038</v>
      </c>
      <c r="F64" s="37">
        <v>45181.911111111112</v>
      </c>
      <c r="G64" s="28">
        <v>500</v>
      </c>
      <c r="H64" s="28">
        <v>10</v>
      </c>
      <c r="I64" s="19">
        <v>1153</v>
      </c>
      <c r="J64" s="19"/>
    </row>
    <row r="65" spans="1:10" x14ac:dyDescent="0.2">
      <c r="A65" s="19" t="str">
        <v>CTD-008</v>
      </c>
      <c r="B65" s="19">
        <v>23</v>
      </c>
      <c r="C65" s="19" t="str">
        <v>No problems noted</v>
      </c>
      <c r="D65" s="19">
        <v>200</v>
      </c>
      <c r="E65" s="19" t="str">
        <v>CHL-003</v>
      </c>
      <c r="F65" s="37">
        <v>45181.907638888886</v>
      </c>
      <c r="G65" s="28">
        <v>500</v>
      </c>
      <c r="H65" s="28">
        <v>10</v>
      </c>
      <c r="I65" s="19">
        <v>1152</v>
      </c>
      <c r="J65" s="19"/>
    </row>
    <row r="66" spans="1:10" x14ac:dyDescent="0.2">
      <c r="A66" s="19" t="str">
        <v>J2-1554</v>
      </c>
      <c r="B66" s="19" t="str">
        <v>Aft Port</v>
      </c>
      <c r="C66" s="19" t="str">
        <v>No problems noted</v>
      </c>
      <c r="D66" s="19">
        <v>2607</v>
      </c>
      <c r="E66" s="19" t="str">
        <v>CHL-032</v>
      </c>
      <c r="F66" s="37">
        <v>45182.21875</v>
      </c>
      <c r="G66" s="28">
        <v>500</v>
      </c>
      <c r="H66" s="28">
        <v>10</v>
      </c>
      <c r="I66" s="19">
        <v>1156</v>
      </c>
      <c r="J66" s="19"/>
    </row>
    <row r="67" spans="1:10" x14ac:dyDescent="0.2">
      <c r="A67" s="19" t="str">
        <v>CTD-009</v>
      </c>
      <c r="B67" s="19">
        <v>3</v>
      </c>
      <c r="C67" s="19" t="str">
        <v>No problems noted</v>
      </c>
      <c r="D67" s="19">
        <v>525</v>
      </c>
      <c r="E67" s="19" t="str">
        <v>CHL-026</v>
      </c>
      <c r="F67" s="37">
        <v>45184.666666666664</v>
      </c>
      <c r="G67" s="28">
        <v>500</v>
      </c>
      <c r="H67" s="28">
        <v>10</v>
      </c>
      <c r="I67" s="19">
        <v>1157</v>
      </c>
      <c r="J67" s="19"/>
    </row>
    <row r="68" spans="1:10" x14ac:dyDescent="0.2">
      <c r="A68" s="19" t="str">
        <v>CTD-009</v>
      </c>
      <c r="B68" s="19">
        <v>7</v>
      </c>
      <c r="C68" s="19" t="str">
        <v>No problems noted</v>
      </c>
      <c r="D68" s="19">
        <v>450</v>
      </c>
      <c r="E68" s="19" t="str">
        <v>CHL-003</v>
      </c>
      <c r="F68" s="37">
        <v>45185.668749999997</v>
      </c>
      <c r="G68" s="28">
        <v>500</v>
      </c>
      <c r="H68" s="28">
        <v>10</v>
      </c>
      <c r="I68" s="19">
        <v>1158</v>
      </c>
      <c r="J68" s="19"/>
    </row>
    <row r="69" spans="1:10" x14ac:dyDescent="0.2">
      <c r="A69" s="19" t="str">
        <v>CTD-009</v>
      </c>
      <c r="B69" s="19">
        <v>11</v>
      </c>
      <c r="C69" s="19" t="str">
        <v>No problems noted</v>
      </c>
      <c r="D69" s="19">
        <v>350</v>
      </c>
      <c r="E69" s="19" t="str">
        <v>CHL-031</v>
      </c>
      <c r="F69" s="37">
        <v>45186.67083333333</v>
      </c>
      <c r="G69" s="28">
        <v>500</v>
      </c>
      <c r="H69" s="28">
        <v>10</v>
      </c>
      <c r="I69" s="19">
        <v>1159</v>
      </c>
      <c r="J69" s="19"/>
    </row>
    <row r="70" spans="1:10" x14ac:dyDescent="0.2">
      <c r="A70" s="19" t="str">
        <v>CTD-009</v>
      </c>
      <c r="B70" s="19">
        <v>15</v>
      </c>
      <c r="C70" s="19" t="str">
        <v>No problems noted</v>
      </c>
      <c r="D70" s="19">
        <v>300</v>
      </c>
      <c r="E70" s="19" t="str">
        <v>CHL-037</v>
      </c>
      <c r="F70" s="37">
        <v>45187.673611111109</v>
      </c>
      <c r="G70" s="28">
        <v>500</v>
      </c>
      <c r="H70" s="28">
        <v>10</v>
      </c>
      <c r="I70" s="19">
        <v>5053</v>
      </c>
      <c r="J70" s="19"/>
    </row>
    <row r="71" spans="1:10" x14ac:dyDescent="0.2">
      <c r="A71" s="19" t="str">
        <v>CTD-009</v>
      </c>
      <c r="B71" s="19">
        <v>19</v>
      </c>
      <c r="C71" s="19" t="str">
        <v>No problems noted</v>
      </c>
      <c r="D71" s="19">
        <v>250</v>
      </c>
      <c r="E71" s="19" t="str">
        <v>CHL-020</v>
      </c>
      <c r="F71" s="37">
        <v>45188.675694444442</v>
      </c>
      <c r="G71" s="28">
        <v>500</v>
      </c>
      <c r="H71" s="28">
        <v>10</v>
      </c>
      <c r="I71" s="19">
        <v>5054</v>
      </c>
      <c r="J71" s="19"/>
    </row>
    <row r="72" spans="1:10" x14ac:dyDescent="0.2">
      <c r="A72" s="19" t="str">
        <v>CTD-009</v>
      </c>
      <c r="B72" s="19">
        <v>21</v>
      </c>
      <c r="C72" s="19" t="str">
        <v>No problems noted</v>
      </c>
      <c r="D72" s="19">
        <v>225</v>
      </c>
      <c r="E72" s="19" t="str">
        <v>CHL-038</v>
      </c>
      <c r="F72" s="37">
        <v>45189.678472222222</v>
      </c>
      <c r="G72" s="28">
        <v>500</v>
      </c>
      <c r="H72" s="28">
        <v>10</v>
      </c>
      <c r="I72" s="19">
        <v>5055</v>
      </c>
      <c r="J72" s="19"/>
    </row>
  </sheetData>
  <mergeCells count="19">
    <mergeCell ref="A4:B4"/>
    <mergeCell ref="C4:I4"/>
    <mergeCell ref="A1:I1"/>
    <mergeCell ref="A2:B2"/>
    <mergeCell ref="C2:I2"/>
    <mergeCell ref="A3:B3"/>
    <mergeCell ref="C3:I3"/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/>
  </sheetViews>
  <sheetFormatPr baseColWidth="10" defaultRowHeight="16" x14ac:dyDescent="0.2"/>
  <cols>
    <col min="1" max="1" width="26.1640625" bestFit="1" customWidth="1"/>
    <col min="2" max="2" width="53.3320312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267</v>
      </c>
    </row>
    <row r="3" spans="1:2" x14ac:dyDescent="0.2">
      <c r="A3" t="s">
        <v>141</v>
      </c>
      <c r="B3" t="s">
        <v>43</v>
      </c>
    </row>
    <row r="4" spans="1:2" x14ac:dyDescent="0.2">
      <c r="A4" t="s">
        <v>142</v>
      </c>
      <c r="B4" t="s">
        <v>43</v>
      </c>
    </row>
    <row r="5" spans="1:2" x14ac:dyDescent="0.2">
      <c r="A5" t="s">
        <v>143</v>
      </c>
      <c r="B5" t="s">
        <v>43</v>
      </c>
    </row>
    <row r="6" spans="1:2" x14ac:dyDescent="0.2">
      <c r="A6" t="s">
        <v>144</v>
      </c>
      <c r="B6" t="s">
        <v>43</v>
      </c>
    </row>
    <row r="7" spans="1:2" x14ac:dyDescent="0.2">
      <c r="A7" t="s">
        <v>145</v>
      </c>
      <c r="B7" t="s">
        <v>43</v>
      </c>
    </row>
    <row r="8" spans="1:2" x14ac:dyDescent="0.2">
      <c r="A8" t="s">
        <v>146</v>
      </c>
      <c r="B8" t="s">
        <v>43</v>
      </c>
    </row>
    <row r="9" spans="1:2" x14ac:dyDescent="0.2">
      <c r="A9" t="s">
        <v>147</v>
      </c>
      <c r="B9" t="s">
        <v>268</v>
      </c>
    </row>
    <row r="10" spans="1:2" x14ac:dyDescent="0.2">
      <c r="A10" t="s">
        <v>148</v>
      </c>
      <c r="B10" t="s">
        <v>268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F73"/>
  <sheetViews>
    <sheetView workbookViewId="0"/>
  </sheetViews>
  <sheetFormatPr baseColWidth="10" defaultRowHeight="16" x14ac:dyDescent="0.2"/>
  <cols>
    <col min="1" max="1" width="16.33203125" bestFit="1" customWidth="1"/>
    <col min="2" max="2" width="15.83203125" bestFit="1" customWidth="1"/>
    <col min="5" max="5" width="14.6640625" bestFit="1" customWidth="1"/>
  </cols>
  <sheetData>
    <row r="1" spans="1:6" x14ac:dyDescent="0.2">
      <c r="A1" s="2" t="s">
        <v>65</v>
      </c>
      <c r="B1" s="13" t="s">
        <v>66</v>
      </c>
      <c r="E1" s="2" t="s">
        <v>90</v>
      </c>
      <c r="F1" s="2" t="s">
        <v>91</v>
      </c>
    </row>
    <row r="2" spans="1:6" x14ac:dyDescent="0.2">
      <c r="A2" t="s">
        <v>269</v>
      </c>
      <c r="B2">
        <v>127.07</v>
      </c>
      <c r="E2">
        <v>10</v>
      </c>
      <c r="F2">
        <v>0.01</v>
      </c>
    </row>
    <row r="3" spans="1:6" x14ac:dyDescent="0.2">
      <c r="A3" t="s">
        <v>270</v>
      </c>
      <c r="B3">
        <v>143.49</v>
      </c>
    </row>
    <row r="4" spans="1:6" x14ac:dyDescent="0.2">
      <c r="A4" t="s">
        <v>271</v>
      </c>
      <c r="B4">
        <v>131.32</v>
      </c>
    </row>
    <row r="5" spans="1:6" x14ac:dyDescent="0.2">
      <c r="A5" t="s">
        <v>272</v>
      </c>
      <c r="B5">
        <v>129.91999999999999</v>
      </c>
    </row>
    <row r="6" spans="1:6" x14ac:dyDescent="0.2">
      <c r="A6" t="s">
        <v>273</v>
      </c>
      <c r="B6">
        <v>126.53</v>
      </c>
    </row>
    <row r="7" spans="1:6" x14ac:dyDescent="0.2">
      <c r="A7" t="s">
        <v>274</v>
      </c>
      <c r="B7">
        <v>126.55</v>
      </c>
    </row>
    <row r="8" spans="1:6" x14ac:dyDescent="0.2">
      <c r="A8" t="s">
        <v>275</v>
      </c>
      <c r="B8">
        <v>144.84</v>
      </c>
    </row>
    <row r="9" spans="1:6" x14ac:dyDescent="0.2">
      <c r="A9" t="s">
        <v>276</v>
      </c>
      <c r="B9">
        <v>139.47999999999999</v>
      </c>
    </row>
    <row r="10" spans="1:6" x14ac:dyDescent="0.2">
      <c r="A10" t="s">
        <v>277</v>
      </c>
      <c r="B10">
        <v>128.16</v>
      </c>
    </row>
    <row r="11" spans="1:6" x14ac:dyDescent="0.2">
      <c r="A11" t="s">
        <v>278</v>
      </c>
      <c r="B11">
        <v>141.4</v>
      </c>
    </row>
    <row r="12" spans="1:6" x14ac:dyDescent="0.2">
      <c r="A12" t="s">
        <v>279</v>
      </c>
      <c r="B12">
        <v>126.21</v>
      </c>
    </row>
    <row r="13" spans="1:6" x14ac:dyDescent="0.2">
      <c r="A13" t="s">
        <v>280</v>
      </c>
      <c r="B13">
        <v>131.84</v>
      </c>
    </row>
    <row r="14" spans="1:6" x14ac:dyDescent="0.2">
      <c r="A14" t="s">
        <v>281</v>
      </c>
      <c r="B14">
        <v>138.54</v>
      </c>
    </row>
    <row r="15" spans="1:6" x14ac:dyDescent="0.2">
      <c r="A15" t="s">
        <v>282</v>
      </c>
      <c r="B15">
        <v>133.63</v>
      </c>
    </row>
    <row r="16" spans="1:6" x14ac:dyDescent="0.2">
      <c r="A16" t="s">
        <v>283</v>
      </c>
      <c r="B16">
        <v>133.4</v>
      </c>
    </row>
    <row r="17" spans="1:2" x14ac:dyDescent="0.2">
      <c r="A17" t="s">
        <v>284</v>
      </c>
      <c r="B17">
        <v>136.91999999999999</v>
      </c>
    </row>
    <row r="18" spans="1:2" x14ac:dyDescent="0.2">
      <c r="A18" t="s">
        <v>285</v>
      </c>
      <c r="B18">
        <v>131.44</v>
      </c>
    </row>
    <row r="19" spans="1:2" x14ac:dyDescent="0.2">
      <c r="A19" t="s">
        <v>286</v>
      </c>
      <c r="B19">
        <v>130.22</v>
      </c>
    </row>
    <row r="20" spans="1:2" x14ac:dyDescent="0.2">
      <c r="A20" t="s">
        <v>287</v>
      </c>
      <c r="B20">
        <v>130.21</v>
      </c>
    </row>
    <row r="21" spans="1:2" x14ac:dyDescent="0.2">
      <c r="A21" t="s">
        <v>288</v>
      </c>
      <c r="B21">
        <v>132.28</v>
      </c>
    </row>
    <row r="22" spans="1:2" x14ac:dyDescent="0.2">
      <c r="A22" t="s">
        <v>289</v>
      </c>
      <c r="B22">
        <v>129.03</v>
      </c>
    </row>
    <row r="23" spans="1:2" x14ac:dyDescent="0.2">
      <c r="A23" t="s">
        <v>290</v>
      </c>
      <c r="B23">
        <v>137.91999999999999</v>
      </c>
    </row>
    <row r="24" spans="1:2" x14ac:dyDescent="0.2">
      <c r="A24" t="s">
        <v>291</v>
      </c>
      <c r="B24">
        <v>128.99</v>
      </c>
    </row>
    <row r="25" spans="1:2" x14ac:dyDescent="0.2">
      <c r="A25" t="s">
        <v>292</v>
      </c>
      <c r="B25">
        <v>134.25</v>
      </c>
    </row>
    <row r="26" spans="1:2" x14ac:dyDescent="0.2">
      <c r="A26" t="s">
        <v>293</v>
      </c>
      <c r="B26">
        <v>138.97</v>
      </c>
    </row>
    <row r="27" spans="1:2" x14ac:dyDescent="0.2">
      <c r="A27" t="s">
        <v>294</v>
      </c>
      <c r="B27">
        <v>134.46</v>
      </c>
    </row>
    <row r="28" spans="1:2" x14ac:dyDescent="0.2">
      <c r="A28" t="s">
        <v>295</v>
      </c>
      <c r="B28">
        <v>132.76</v>
      </c>
    </row>
    <row r="29" spans="1:2" x14ac:dyDescent="0.2">
      <c r="A29" t="s">
        <v>296</v>
      </c>
      <c r="B29">
        <v>145.56</v>
      </c>
    </row>
    <row r="30" spans="1:2" x14ac:dyDescent="0.2">
      <c r="A30" t="s">
        <v>297</v>
      </c>
      <c r="B30">
        <v>137.24</v>
      </c>
    </row>
    <row r="31" spans="1:2" x14ac:dyDescent="0.2">
      <c r="A31" t="s">
        <v>298</v>
      </c>
      <c r="B31">
        <v>127.31</v>
      </c>
    </row>
    <row r="32" spans="1:2" x14ac:dyDescent="0.2">
      <c r="A32" t="s">
        <v>299</v>
      </c>
      <c r="B32">
        <v>141.15</v>
      </c>
    </row>
    <row r="33" spans="1:2" x14ac:dyDescent="0.2">
      <c r="A33" t="s">
        <v>300</v>
      </c>
      <c r="B33">
        <v>131.1</v>
      </c>
    </row>
    <row r="34" spans="1:2" x14ac:dyDescent="0.2">
      <c r="A34" t="s">
        <v>301</v>
      </c>
      <c r="B34">
        <v>139.88999999999999</v>
      </c>
    </row>
    <row r="35" spans="1:2" x14ac:dyDescent="0.2">
      <c r="A35" t="s">
        <v>302</v>
      </c>
      <c r="B35">
        <v>128.54</v>
      </c>
    </row>
    <row r="36" spans="1:2" x14ac:dyDescent="0.2">
      <c r="A36" t="s">
        <v>303</v>
      </c>
      <c r="B36">
        <v>144.28</v>
      </c>
    </row>
    <row r="37" spans="1:2" x14ac:dyDescent="0.2">
      <c r="A37" t="s">
        <v>304</v>
      </c>
      <c r="B37">
        <v>136.19999999999999</v>
      </c>
    </row>
    <row r="38" spans="1:2" x14ac:dyDescent="0.2">
      <c r="A38" t="s">
        <v>305</v>
      </c>
      <c r="B38">
        <v>126.81</v>
      </c>
    </row>
    <row r="39" spans="1:2" x14ac:dyDescent="0.2">
      <c r="A39" t="s">
        <v>306</v>
      </c>
      <c r="B39">
        <v>145.12</v>
      </c>
    </row>
    <row r="40" spans="1:2" x14ac:dyDescent="0.2">
      <c r="A40" t="s">
        <v>307</v>
      </c>
      <c r="B40">
        <v>128.91999999999999</v>
      </c>
    </row>
    <row r="41" spans="1:2" x14ac:dyDescent="0.2">
      <c r="A41" t="s">
        <v>308</v>
      </c>
      <c r="B41">
        <v>132.37</v>
      </c>
    </row>
    <row r="42" spans="1:2" x14ac:dyDescent="0.2">
      <c r="A42" t="s">
        <v>309</v>
      </c>
      <c r="B42">
        <v>140.59</v>
      </c>
    </row>
    <row r="43" spans="1:2" x14ac:dyDescent="0.2">
      <c r="A43" t="s">
        <v>310</v>
      </c>
      <c r="B43">
        <v>133.06</v>
      </c>
    </row>
    <row r="44" spans="1:2" x14ac:dyDescent="0.2">
      <c r="A44" t="s">
        <v>311</v>
      </c>
      <c r="B44">
        <v>146.19999999999999</v>
      </c>
    </row>
    <row r="45" spans="1:2" x14ac:dyDescent="0.2">
      <c r="A45" t="s">
        <v>312</v>
      </c>
      <c r="B45">
        <v>131.41</v>
      </c>
    </row>
    <row r="46" spans="1:2" x14ac:dyDescent="0.2">
      <c r="A46" t="s">
        <v>313</v>
      </c>
      <c r="B46">
        <v>136.33000000000001</v>
      </c>
    </row>
    <row r="47" spans="1:2" x14ac:dyDescent="0.2">
      <c r="A47" t="s">
        <v>314</v>
      </c>
      <c r="B47">
        <v>145.01</v>
      </c>
    </row>
    <row r="48" spans="1:2" x14ac:dyDescent="0.2">
      <c r="A48" t="s">
        <v>315</v>
      </c>
      <c r="B48">
        <v>129.63999999999999</v>
      </c>
    </row>
    <row r="49" spans="1:2" x14ac:dyDescent="0.2">
      <c r="A49" t="s">
        <v>316</v>
      </c>
      <c r="B49">
        <v>136.52000000000001</v>
      </c>
    </row>
    <row r="50" spans="1:2" x14ac:dyDescent="0.2">
      <c r="A50" t="s">
        <v>237</v>
      </c>
      <c r="B50">
        <v>129.06</v>
      </c>
    </row>
    <row r="51" spans="1:2" x14ac:dyDescent="0.2">
      <c r="A51" t="s">
        <v>238</v>
      </c>
      <c r="B51">
        <v>123.3</v>
      </c>
    </row>
    <row r="52" spans="1:2" x14ac:dyDescent="0.2">
      <c r="A52" t="s">
        <v>239</v>
      </c>
      <c r="B52">
        <v>131.84</v>
      </c>
    </row>
    <row r="53" spans="1:2" x14ac:dyDescent="0.2">
      <c r="A53" t="s">
        <v>240</v>
      </c>
      <c r="B53">
        <v>144.37</v>
      </c>
    </row>
    <row r="54" spans="1:2" x14ac:dyDescent="0.2">
      <c r="A54" t="s">
        <v>241</v>
      </c>
      <c r="B54">
        <v>141.76</v>
      </c>
    </row>
    <row r="55" spans="1:2" x14ac:dyDescent="0.2">
      <c r="A55" t="s">
        <v>242</v>
      </c>
      <c r="B55">
        <v>138.32</v>
      </c>
    </row>
    <row r="56" spans="1:2" x14ac:dyDescent="0.2">
      <c r="A56" t="s">
        <v>243</v>
      </c>
      <c r="B56">
        <v>131.04</v>
      </c>
    </row>
    <row r="57" spans="1:2" x14ac:dyDescent="0.2">
      <c r="A57" t="s">
        <v>244</v>
      </c>
      <c r="B57">
        <v>140.38</v>
      </c>
    </row>
    <row r="58" spans="1:2" x14ac:dyDescent="0.2">
      <c r="A58" t="s">
        <v>245</v>
      </c>
      <c r="B58">
        <v>142.38</v>
      </c>
    </row>
    <row r="59" spans="1:2" x14ac:dyDescent="0.2">
      <c r="A59" t="s">
        <v>246</v>
      </c>
      <c r="B59">
        <v>132.83000000000001</v>
      </c>
    </row>
    <row r="60" spans="1:2" x14ac:dyDescent="0.2">
      <c r="A60" t="s">
        <v>247</v>
      </c>
      <c r="B60">
        <v>134.6</v>
      </c>
    </row>
    <row r="61" spans="1:2" x14ac:dyDescent="0.2">
      <c r="A61" t="s">
        <v>248</v>
      </c>
      <c r="B61">
        <v>131.53</v>
      </c>
    </row>
    <row r="62" spans="1:2" x14ac:dyDescent="0.2">
      <c r="A62" t="s">
        <v>249</v>
      </c>
      <c r="B62">
        <v>140.75</v>
      </c>
    </row>
    <row r="63" spans="1:2" x14ac:dyDescent="0.2">
      <c r="A63" t="s">
        <v>250</v>
      </c>
      <c r="B63">
        <v>132.49</v>
      </c>
    </row>
    <row r="64" spans="1:2" x14ac:dyDescent="0.2">
      <c r="A64" t="s">
        <v>251</v>
      </c>
      <c r="B64">
        <v>131.32</v>
      </c>
    </row>
    <row r="65" spans="1:2" x14ac:dyDescent="0.2">
      <c r="A65" t="s">
        <v>252</v>
      </c>
      <c r="B65">
        <v>129.56</v>
      </c>
    </row>
    <row r="66" spans="1:2" x14ac:dyDescent="0.2">
      <c r="A66" t="s">
        <v>253</v>
      </c>
      <c r="B66">
        <v>131.66</v>
      </c>
    </row>
    <row r="67" spans="1:2" x14ac:dyDescent="0.2">
      <c r="A67" t="s">
        <v>254</v>
      </c>
      <c r="B67">
        <v>138.22</v>
      </c>
    </row>
    <row r="68" spans="1:2" x14ac:dyDescent="0.2">
      <c r="A68" t="s">
        <v>255</v>
      </c>
      <c r="B68">
        <v>127.63</v>
      </c>
    </row>
    <row r="69" spans="1:2" x14ac:dyDescent="0.2">
      <c r="A69" t="s">
        <v>256</v>
      </c>
      <c r="B69">
        <v>133.78</v>
      </c>
    </row>
    <row r="70" spans="1:2" x14ac:dyDescent="0.2">
      <c r="A70" t="s">
        <v>257</v>
      </c>
      <c r="B70">
        <v>130.72</v>
      </c>
    </row>
    <row r="71" spans="1:2" x14ac:dyDescent="0.2">
      <c r="A71" t="s">
        <v>258</v>
      </c>
      <c r="B71">
        <v>132.81</v>
      </c>
    </row>
    <row r="72" spans="1:2" x14ac:dyDescent="0.2">
      <c r="A72" t="s">
        <v>259</v>
      </c>
      <c r="B72">
        <v>131.59</v>
      </c>
    </row>
    <row r="73" spans="1:2" x14ac:dyDescent="0.2">
      <c r="A73" t="s">
        <v>260</v>
      </c>
      <c r="B73">
        <v>140.07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9" t="s">
        <v>92</v>
      </c>
      <c r="B1" s="8" t="s">
        <v>93</v>
      </c>
      <c r="C1" s="8" t="s">
        <v>94</v>
      </c>
      <c r="D1" s="8" t="s">
        <v>95</v>
      </c>
      <c r="E1" s="8" t="s">
        <v>96</v>
      </c>
      <c r="F1" s="8" t="s">
        <v>97</v>
      </c>
      <c r="G1" s="8" t="s">
        <v>98</v>
      </c>
    </row>
    <row r="2" spans="1:7" ht="18" x14ac:dyDescent="0.25">
      <c r="A2" s="10">
        <v>0</v>
      </c>
      <c r="B2" s="11" t="s">
        <v>21</v>
      </c>
      <c r="C2" s="11" t="s">
        <v>21</v>
      </c>
      <c r="D2" s="11" t="s">
        <v>21</v>
      </c>
      <c r="E2" s="11" t="s">
        <v>21</v>
      </c>
      <c r="F2" s="11" t="s">
        <v>21</v>
      </c>
      <c r="G2" s="11" t="s">
        <v>21</v>
      </c>
    </row>
    <row r="3" spans="1:7" ht="52" x14ac:dyDescent="0.25">
      <c r="A3" s="10">
        <v>1</v>
      </c>
      <c r="B3" s="11" t="s">
        <v>22</v>
      </c>
      <c r="C3" s="11" t="s">
        <v>36</v>
      </c>
      <c r="D3" s="11" t="s">
        <v>42</v>
      </c>
      <c r="E3" s="11" t="s">
        <v>49</v>
      </c>
      <c r="F3" s="11" t="s">
        <v>99</v>
      </c>
      <c r="G3" s="11" t="s">
        <v>60</v>
      </c>
    </row>
    <row r="4" spans="1:7" ht="35" x14ac:dyDescent="0.25">
      <c r="A4" s="10">
        <v>2</v>
      </c>
      <c r="B4" s="11" t="s">
        <v>23</v>
      </c>
      <c r="C4" s="11" t="s">
        <v>37</v>
      </c>
      <c r="D4" s="11" t="s">
        <v>43</v>
      </c>
      <c r="E4" s="11" t="s">
        <v>50</v>
      </c>
      <c r="F4" s="11" t="s">
        <v>57</v>
      </c>
      <c r="G4" s="11" t="s">
        <v>61</v>
      </c>
    </row>
    <row r="5" spans="1:7" ht="35" x14ac:dyDescent="0.25">
      <c r="A5" s="10">
        <v>3</v>
      </c>
      <c r="B5" s="11" t="s">
        <v>24</v>
      </c>
      <c r="C5" s="11" t="s">
        <v>38</v>
      </c>
      <c r="D5" s="11" t="s">
        <v>44</v>
      </c>
      <c r="E5" s="11" t="s">
        <v>51</v>
      </c>
      <c r="F5" s="11" t="s">
        <v>44</v>
      </c>
      <c r="G5" s="11" t="s">
        <v>62</v>
      </c>
    </row>
    <row r="6" spans="1:7" ht="35" x14ac:dyDescent="0.25">
      <c r="A6" s="10">
        <v>4</v>
      </c>
      <c r="B6" s="11" t="s">
        <v>25</v>
      </c>
      <c r="C6" s="11" t="s">
        <v>39</v>
      </c>
      <c r="D6" s="11" t="s">
        <v>45</v>
      </c>
      <c r="E6" s="11" t="s">
        <v>52</v>
      </c>
      <c r="F6" s="11" t="s">
        <v>45</v>
      </c>
      <c r="G6" s="11" t="s">
        <v>63</v>
      </c>
    </row>
    <row r="7" spans="1:7" ht="35" x14ac:dyDescent="0.25">
      <c r="A7" s="10">
        <v>5</v>
      </c>
      <c r="B7" s="11" t="s">
        <v>26</v>
      </c>
      <c r="C7" s="11" t="s">
        <v>40</v>
      </c>
      <c r="D7" s="11" t="s">
        <v>46</v>
      </c>
      <c r="E7" s="11" t="s">
        <v>53</v>
      </c>
      <c r="F7" s="11" t="s">
        <v>46</v>
      </c>
      <c r="G7" s="11" t="s">
        <v>35</v>
      </c>
    </row>
    <row r="8" spans="1:7" ht="35" x14ac:dyDescent="0.25">
      <c r="A8" s="10">
        <v>6</v>
      </c>
      <c r="B8" s="11" t="s">
        <v>27</v>
      </c>
      <c r="C8" s="11" t="s">
        <v>41</v>
      </c>
      <c r="D8" s="11" t="s">
        <v>47</v>
      </c>
      <c r="E8" s="11" t="s">
        <v>54</v>
      </c>
      <c r="F8" s="11" t="s">
        <v>58</v>
      </c>
      <c r="G8" s="11" t="s">
        <v>35</v>
      </c>
    </row>
    <row r="9" spans="1:7" ht="35" x14ac:dyDescent="0.25">
      <c r="A9" s="10">
        <v>7</v>
      </c>
      <c r="B9" s="11" t="s">
        <v>28</v>
      </c>
      <c r="C9" s="11" t="s">
        <v>35</v>
      </c>
      <c r="D9" s="11" t="s">
        <v>48</v>
      </c>
      <c r="E9" s="11" t="s">
        <v>55</v>
      </c>
      <c r="F9" s="11" t="s">
        <v>59</v>
      </c>
      <c r="G9" s="11" t="s">
        <v>35</v>
      </c>
    </row>
    <row r="10" spans="1:7" ht="18" x14ac:dyDescent="0.25">
      <c r="A10" s="10">
        <v>8</v>
      </c>
      <c r="B10" s="11" t="s">
        <v>29</v>
      </c>
      <c r="C10" s="11" t="s">
        <v>35</v>
      </c>
      <c r="D10" s="11" t="s">
        <v>35</v>
      </c>
      <c r="E10" s="11" t="s">
        <v>35</v>
      </c>
      <c r="F10" s="11" t="s">
        <v>35</v>
      </c>
      <c r="G10" s="11" t="s">
        <v>35</v>
      </c>
    </row>
    <row r="11" spans="1:7" ht="35" x14ac:dyDescent="0.25">
      <c r="A11" s="10">
        <v>9</v>
      </c>
      <c r="B11" s="11" t="s">
        <v>30</v>
      </c>
      <c r="C11" s="11" t="s">
        <v>35</v>
      </c>
      <c r="D11" s="11" t="s">
        <v>35</v>
      </c>
      <c r="E11" s="11" t="s">
        <v>56</v>
      </c>
      <c r="F11" s="11" t="s">
        <v>35</v>
      </c>
      <c r="G11" s="11" t="s">
        <v>35</v>
      </c>
    </row>
    <row r="12" spans="1:7" ht="18" x14ac:dyDescent="0.25">
      <c r="A12" s="10">
        <v>10</v>
      </c>
      <c r="B12" s="11" t="s">
        <v>31</v>
      </c>
      <c r="C12" s="11" t="s">
        <v>35</v>
      </c>
      <c r="D12" s="11" t="s">
        <v>35</v>
      </c>
      <c r="E12" s="11" t="s">
        <v>35</v>
      </c>
      <c r="F12" s="11" t="s">
        <v>35</v>
      </c>
      <c r="G12" s="11" t="s">
        <v>35</v>
      </c>
    </row>
    <row r="13" spans="1:7" ht="18" x14ac:dyDescent="0.25">
      <c r="A13" s="10">
        <v>11</v>
      </c>
      <c r="B13" s="11" t="s">
        <v>32</v>
      </c>
      <c r="C13" s="11" t="s">
        <v>35</v>
      </c>
      <c r="D13" s="11" t="s">
        <v>35</v>
      </c>
      <c r="E13" s="11" t="s">
        <v>35</v>
      </c>
      <c r="F13" s="11" t="s">
        <v>35</v>
      </c>
      <c r="G13" s="11" t="s">
        <v>35</v>
      </c>
    </row>
    <row r="14" spans="1:7" ht="18" x14ac:dyDescent="0.25">
      <c r="A14" s="10">
        <v>12</v>
      </c>
      <c r="B14" s="11" t="s">
        <v>33</v>
      </c>
      <c r="C14" s="11" t="s">
        <v>35</v>
      </c>
      <c r="D14" s="11" t="s">
        <v>35</v>
      </c>
      <c r="E14" s="11" t="s">
        <v>35</v>
      </c>
      <c r="F14" s="11" t="s">
        <v>35</v>
      </c>
      <c r="G14" s="11" t="s">
        <v>35</v>
      </c>
    </row>
    <row r="15" spans="1:7" ht="18" x14ac:dyDescent="0.25">
      <c r="A15" s="10">
        <v>13</v>
      </c>
      <c r="B15" s="11" t="s">
        <v>34</v>
      </c>
      <c r="C15" s="11" t="s">
        <v>35</v>
      </c>
      <c r="D15" s="11" t="s">
        <v>35</v>
      </c>
      <c r="E15" s="11" t="s">
        <v>35</v>
      </c>
      <c r="F15" s="11" t="s">
        <v>35</v>
      </c>
      <c r="G15" s="11" t="s">
        <v>35</v>
      </c>
    </row>
    <row r="16" spans="1:7" ht="18" x14ac:dyDescent="0.25">
      <c r="A16" s="10">
        <v>14</v>
      </c>
      <c r="B16" s="11" t="s">
        <v>35</v>
      </c>
      <c r="C16" s="11" t="s">
        <v>35</v>
      </c>
      <c r="D16" s="11" t="s">
        <v>35</v>
      </c>
      <c r="E16" s="11" t="s">
        <v>35</v>
      </c>
      <c r="F16" s="11" t="s">
        <v>35</v>
      </c>
      <c r="G16" s="11" t="s">
        <v>35</v>
      </c>
    </row>
    <row r="17" spans="1:7" ht="18" x14ac:dyDescent="0.25">
      <c r="A17" s="10">
        <v>15</v>
      </c>
      <c r="B17" s="11" t="s">
        <v>35</v>
      </c>
      <c r="C17" s="11" t="s">
        <v>35</v>
      </c>
      <c r="D17" s="11" t="s">
        <v>35</v>
      </c>
      <c r="E17" s="11" t="s">
        <v>35</v>
      </c>
      <c r="F17" s="11" t="s">
        <v>35</v>
      </c>
      <c r="G17" s="11" t="s">
        <v>35</v>
      </c>
    </row>
    <row r="21" spans="1:7" ht="17" x14ac:dyDescent="0.25">
      <c r="A21" s="4"/>
    </row>
    <row r="22" spans="1:7" ht="17" x14ac:dyDescent="0.25">
      <c r="A22" s="4"/>
    </row>
    <row r="23" spans="1:7" ht="17" x14ac:dyDescent="0.25">
      <c r="A23" s="4"/>
    </row>
    <row r="24" spans="1:7" ht="17" x14ac:dyDescent="0.25">
      <c r="A24" s="4"/>
    </row>
    <row r="25" spans="1:7" ht="17" x14ac:dyDescent="0.25">
      <c r="A25" s="4"/>
    </row>
    <row r="26" spans="1:7" ht="17" x14ac:dyDescent="0.25">
      <c r="A26" s="4"/>
    </row>
    <row r="27" spans="1:7" ht="17" x14ac:dyDescent="0.25">
      <c r="A27" s="4"/>
    </row>
    <row r="28" spans="1:7" ht="17" x14ac:dyDescent="0.25">
      <c r="A28" s="4"/>
    </row>
    <row r="29" spans="1:7" ht="17" x14ac:dyDescent="0.25">
      <c r="A29" s="4"/>
    </row>
    <row r="30" spans="1:7" ht="17" x14ac:dyDescent="0.25">
      <c r="A30" s="4"/>
    </row>
    <row r="31" spans="1:7" ht="17" x14ac:dyDescent="0.25">
      <c r="A31" s="4"/>
    </row>
    <row r="32" spans="1:7" ht="17" x14ac:dyDescent="0.25">
      <c r="A32" s="4"/>
    </row>
    <row r="33" spans="1:1" ht="17" x14ac:dyDescent="0.25">
      <c r="A33" s="4"/>
    </row>
    <row r="34" spans="1:1" ht="17" x14ac:dyDescent="0.25">
      <c r="A34" s="4"/>
    </row>
    <row r="35" spans="1:1" ht="17" x14ac:dyDescent="0.25">
      <c r="A35" s="4"/>
    </row>
    <row r="36" spans="1:1" ht="17" x14ac:dyDescent="0.25">
      <c r="A36" s="4"/>
    </row>
    <row r="37" spans="1:1" ht="17" x14ac:dyDescent="0.25">
      <c r="A37" s="4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5"/>
  <sheetViews>
    <sheetView workbookViewId="0"/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72</v>
      </c>
    </row>
    <row r="2" spans="1:1" x14ac:dyDescent="0.2">
      <c r="A2" t="s">
        <v>205</v>
      </c>
    </row>
    <row r="3" spans="1:1" x14ac:dyDescent="0.2">
      <c r="A3" t="s">
        <v>179</v>
      </c>
    </row>
    <row r="4" spans="1:1" x14ac:dyDescent="0.2">
      <c r="A4" t="s">
        <v>176</v>
      </c>
    </row>
    <row r="5" spans="1:1" x14ac:dyDescent="0.2">
      <c r="A5" t="s">
        <v>73</v>
      </c>
    </row>
    <row r="6" spans="1:1" x14ac:dyDescent="0.2">
      <c r="A6" t="s">
        <v>71</v>
      </c>
    </row>
    <row r="7" spans="1:1" x14ac:dyDescent="0.2">
      <c r="A7" t="s">
        <v>174</v>
      </c>
    </row>
    <row r="8" spans="1:1" x14ac:dyDescent="0.2">
      <c r="A8" t="s">
        <v>183</v>
      </c>
    </row>
    <row r="9" spans="1:1" x14ac:dyDescent="0.2">
      <c r="A9" t="s">
        <v>182</v>
      </c>
    </row>
    <row r="10" spans="1:1" x14ac:dyDescent="0.2">
      <c r="A10" t="s">
        <v>177</v>
      </c>
    </row>
    <row r="11" spans="1:1" x14ac:dyDescent="0.2">
      <c r="A11" t="s">
        <v>178</v>
      </c>
    </row>
    <row r="12" spans="1:1" x14ac:dyDescent="0.2">
      <c r="A12" t="s">
        <v>180</v>
      </c>
    </row>
    <row r="13" spans="1:1" x14ac:dyDescent="0.2">
      <c r="A13" t="s">
        <v>175</v>
      </c>
    </row>
    <row r="14" spans="1:1" x14ac:dyDescent="0.2">
      <c r="A14" t="s">
        <v>206</v>
      </c>
    </row>
    <row r="15" spans="1:1" x14ac:dyDescent="0.2">
      <c r="A15" t="s">
        <v>231</v>
      </c>
    </row>
    <row r="16" spans="1:1" x14ac:dyDescent="0.2">
      <c r="A16" t="s">
        <v>181</v>
      </c>
    </row>
    <row r="17" spans="1:1" x14ac:dyDescent="0.2">
      <c r="A17" t="s">
        <v>234</v>
      </c>
    </row>
    <row r="18" spans="1:1" x14ac:dyDescent="0.2">
      <c r="A18" t="s">
        <v>261</v>
      </c>
    </row>
    <row r="19" spans="1:1" x14ac:dyDescent="0.2">
      <c r="A19" t="s">
        <v>262</v>
      </c>
    </row>
    <row r="20" spans="1:1" x14ac:dyDescent="0.2">
      <c r="A20" t="s">
        <v>263</v>
      </c>
    </row>
    <row r="21" spans="1:1" x14ac:dyDescent="0.2">
      <c r="A21" t="s">
        <v>172</v>
      </c>
    </row>
    <row r="22" spans="1:1" x14ac:dyDescent="0.2">
      <c r="A22" t="s">
        <v>207</v>
      </c>
    </row>
    <row r="23" spans="1:1" x14ac:dyDescent="0.2">
      <c r="A23" t="s">
        <v>74</v>
      </c>
    </row>
    <row r="24" spans="1:1" x14ac:dyDescent="0.2">
      <c r="A24" t="s">
        <v>191</v>
      </c>
    </row>
    <row r="25" spans="1:1" x14ac:dyDescent="0.2">
      <c r="A25" t="s">
        <v>190</v>
      </c>
    </row>
    <row r="26" spans="1:1" x14ac:dyDescent="0.2">
      <c r="A26" t="s">
        <v>186</v>
      </c>
    </row>
    <row r="27" spans="1:1" x14ac:dyDescent="0.2">
      <c r="A27" t="s">
        <v>187</v>
      </c>
    </row>
    <row r="28" spans="1:1" x14ac:dyDescent="0.2">
      <c r="A28" t="s">
        <v>75</v>
      </c>
    </row>
    <row r="29" spans="1:1" x14ac:dyDescent="0.2">
      <c r="A29" t="s">
        <v>185</v>
      </c>
    </row>
    <row r="30" spans="1:1" x14ac:dyDescent="0.2">
      <c r="A30" t="s">
        <v>189</v>
      </c>
    </row>
    <row r="31" spans="1:1" x14ac:dyDescent="0.2">
      <c r="A31" t="s">
        <v>184</v>
      </c>
    </row>
    <row r="32" spans="1:1" x14ac:dyDescent="0.2">
      <c r="A32" t="s">
        <v>188</v>
      </c>
    </row>
    <row r="33" spans="1:1" x14ac:dyDescent="0.2">
      <c r="A33" t="s">
        <v>173</v>
      </c>
    </row>
    <row r="34" spans="1:1" x14ac:dyDescent="0.2">
      <c r="A34" t="s">
        <v>192</v>
      </c>
    </row>
    <row r="35" spans="1:1" x14ac:dyDescent="0.2">
      <c r="A35" t="s">
        <v>208</v>
      </c>
    </row>
    <row r="36" spans="1:1" x14ac:dyDescent="0.2">
      <c r="A36" t="s">
        <v>209</v>
      </c>
    </row>
    <row r="37" spans="1:1" x14ac:dyDescent="0.2">
      <c r="A37" t="s">
        <v>210</v>
      </c>
    </row>
    <row r="38" spans="1:1" x14ac:dyDescent="0.2">
      <c r="A38" t="s">
        <v>77</v>
      </c>
    </row>
    <row r="39" spans="1:1" x14ac:dyDescent="0.2">
      <c r="A39" t="s">
        <v>203</v>
      </c>
    </row>
    <row r="40" spans="1:1" x14ac:dyDescent="0.2">
      <c r="A40" t="s">
        <v>197</v>
      </c>
    </row>
    <row r="41" spans="1:1" x14ac:dyDescent="0.2">
      <c r="A41" t="s">
        <v>228</v>
      </c>
    </row>
    <row r="42" spans="1:1" x14ac:dyDescent="0.2">
      <c r="A42" t="s">
        <v>199</v>
      </c>
    </row>
    <row r="43" spans="1:1" x14ac:dyDescent="0.2">
      <c r="A43" t="s">
        <v>198</v>
      </c>
    </row>
    <row r="44" spans="1:1" x14ac:dyDescent="0.2">
      <c r="A44" t="s">
        <v>201</v>
      </c>
    </row>
    <row r="45" spans="1:1" x14ac:dyDescent="0.2">
      <c r="A45" t="s">
        <v>76</v>
      </c>
    </row>
    <row r="46" spans="1:1" x14ac:dyDescent="0.2">
      <c r="A46" t="s">
        <v>196</v>
      </c>
    </row>
    <row r="47" spans="1:1" x14ac:dyDescent="0.2">
      <c r="A47" t="s">
        <v>194</v>
      </c>
    </row>
    <row r="48" spans="1:1" x14ac:dyDescent="0.2">
      <c r="A48" t="s">
        <v>202</v>
      </c>
    </row>
    <row r="49" spans="1:1" x14ac:dyDescent="0.2">
      <c r="A49" t="s">
        <v>200</v>
      </c>
    </row>
    <row r="50" spans="1:1" x14ac:dyDescent="0.2">
      <c r="A50" t="s">
        <v>193</v>
      </c>
    </row>
    <row r="51" spans="1:1" x14ac:dyDescent="0.2">
      <c r="A51" t="s">
        <v>195</v>
      </c>
    </row>
    <row r="52" spans="1:1" x14ac:dyDescent="0.2">
      <c r="A52" t="s">
        <v>236</v>
      </c>
    </row>
    <row r="53" spans="1:1" x14ac:dyDescent="0.2">
      <c r="A53" t="s">
        <v>78</v>
      </c>
    </row>
    <row r="54" spans="1:1" x14ac:dyDescent="0.2">
      <c r="A54" t="s">
        <v>211</v>
      </c>
    </row>
    <row r="55" spans="1:1" x14ac:dyDescent="0.2">
      <c r="A55" t="s">
        <v>204</v>
      </c>
    </row>
  </sheetData>
  <sheetProtection algorithmName="SHA-512" hashValue="06+1vSvXRucencWFZbIlTtwFHvYr3VOx1OA6/4JvLOc3p1O+ulaJ8h6LqM/OOC1pgpy37xP49+11khRNOryOzw==" saltValue="vKnFnOcV+AEGjgd4yjmvJ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2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536</v>
      </c>
    </row>
    <row r="7" spans="1:1" x14ac:dyDescent="0.2">
      <c r="A7" t="s">
        <v>229</v>
      </c>
    </row>
    <row r="8" spans="1:1" x14ac:dyDescent="0.2">
      <c r="A8" t="s">
        <v>232</v>
      </c>
    </row>
    <row r="9" spans="1:1" x14ac:dyDescent="0.2">
      <c r="A9" t="s">
        <v>264</v>
      </c>
    </row>
    <row r="10" spans="1:1" x14ac:dyDescent="0.2">
      <c r="A10" t="s">
        <v>265</v>
      </c>
    </row>
    <row r="11" spans="1:1" x14ac:dyDescent="0.2">
      <c r="A11" t="s">
        <v>266</v>
      </c>
    </row>
    <row r="12" spans="1:1" x14ac:dyDescent="0.2">
      <c r="A12" t="s">
        <v>230</v>
      </c>
    </row>
    <row r="13" spans="1:1" x14ac:dyDescent="0.2">
      <c r="A13" t="s">
        <v>233</v>
      </c>
    </row>
    <row r="14" spans="1:1" x14ac:dyDescent="0.2">
      <c r="A14" t="s">
        <v>139</v>
      </c>
    </row>
    <row r="15" spans="1:1" x14ac:dyDescent="0.2">
      <c r="A15" t="s">
        <v>83</v>
      </c>
    </row>
    <row r="16" spans="1:1" x14ac:dyDescent="0.2">
      <c r="A16" t="s">
        <v>84</v>
      </c>
    </row>
    <row r="17" spans="1:1" x14ac:dyDescent="0.2">
      <c r="A17" t="s">
        <v>85</v>
      </c>
    </row>
    <row r="18" spans="1:1" x14ac:dyDescent="0.2">
      <c r="A18" t="s">
        <v>86</v>
      </c>
    </row>
    <row r="19" spans="1:1" x14ac:dyDescent="0.2">
      <c r="A19" t="s">
        <v>87</v>
      </c>
    </row>
    <row r="20" spans="1:1" x14ac:dyDescent="0.2">
      <c r="A20" t="s">
        <v>20</v>
      </c>
    </row>
    <row r="21" spans="1:1" x14ac:dyDescent="0.2">
      <c r="A21" t="s">
        <v>88</v>
      </c>
    </row>
    <row r="22" spans="1:1" x14ac:dyDescent="0.2">
      <c r="A22" t="s">
        <v>138</v>
      </c>
    </row>
  </sheetData>
  <sheetProtection algorithmName="SHA-512" hashValue="IqBgRs14JgMK+uYBWi4v3wpgagx/GHKtpwKIYTbwD1tJWeHOgl/sUvqD22zzkvF3SV25kxOGrztIqZRJgEdqNQ==" saltValue="z3PFruWo/3m4Gls4yKjA2Q==" spinCount="100000" sheet="1" objects="1" scenarios="1"/>
  <sortState xmlns:xlrd2="http://schemas.microsoft.com/office/spreadsheetml/2017/richdata2" ref="A1:A18">
    <sortCondition ref="A1:A1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CastLog_ROV</vt:lpstr>
      <vt:lpstr>SampleList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2023-10-31T19:27:49Z</dcterms:modified>
</cp:coreProperties>
</file>