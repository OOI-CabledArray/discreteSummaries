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sn/Desktop/FileCabinet/DiscreteSampling/DiscreteSummaries/"/>
    </mc:Choice>
  </mc:AlternateContent>
  <xr:revisionPtr revIDLastSave="0" documentId="13_ncr:1_{2F17A3B5-10A6-9749-9B02-67A411D31DCC}" xr6:coauthVersionLast="46" xr6:coauthVersionMax="46" xr10:uidLastSave="{00000000-0000-0000-0000-000000000000}"/>
  <bookViews>
    <workbookView xWindow="-33100" yWindow="0" windowWidth="33100" windowHeight="19200" activeTab="12" xr2:uid="{6D1A619F-1D80-AB4C-B902-F65902599E24}"/>
  </bookViews>
  <sheets>
    <sheet name="README" sheetId="23" r:id="rId1"/>
    <sheet name="CastList" sheetId="8" r:id="rId2"/>
    <sheet name="SampleList" sheetId="7" r:id="rId3"/>
    <sheet name="CastLog_ROV" sheetId="21" r:id="rId4"/>
    <sheet name="OxygenLog_all" sheetId="18" r:id="rId5"/>
    <sheet name="ChloroLog_all" sheetId="16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5" i="18" l="1"/>
  <c r="V4" i="18"/>
  <c r="D10" i="18" a="1"/>
  <c r="D10" i="18" s="1"/>
  <c r="E10" i="18" s="1"/>
  <c r="I50" i="18"/>
  <c r="U5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I10" i="18"/>
  <c r="U4" i="18"/>
  <c r="H10" i="18" s="1"/>
  <c r="E10" i="16" a="1"/>
  <c r="E10" i="16" s="1"/>
  <c r="A10" i="16" s="1"/>
  <c r="I46" i="18" l="1"/>
  <c r="I38" i="18"/>
  <c r="I34" i="18"/>
  <c r="I26" i="18"/>
  <c r="I47" i="18"/>
  <c r="I42" i="18"/>
  <c r="I30" i="18"/>
  <c r="I27" i="18"/>
  <c r="I43" i="18"/>
  <c r="I32" i="18"/>
  <c r="I40" i="18"/>
  <c r="I44" i="18"/>
  <c r="I39" i="18"/>
  <c r="I36" i="18"/>
  <c r="I49" i="18"/>
  <c r="I31" i="18"/>
  <c r="I29" i="18"/>
  <c r="I37" i="18"/>
  <c r="I41" i="18"/>
  <c r="I45" i="18"/>
  <c r="I35" i="18"/>
  <c r="I28" i="18"/>
  <c r="I33" i="18"/>
  <c r="I22" i="18"/>
  <c r="I14" i="18"/>
  <c r="I18" i="18"/>
  <c r="I23" i="18"/>
  <c r="I24" i="18"/>
  <c r="I15" i="18"/>
  <c r="I19" i="18"/>
  <c r="I12" i="18"/>
  <c r="I16" i="18"/>
  <c r="I20" i="18"/>
  <c r="I48" i="18"/>
  <c r="I25" i="18"/>
  <c r="I13" i="18"/>
  <c r="I17" i="18"/>
  <c r="I21" i="18"/>
  <c r="A11" i="18"/>
  <c r="A10" i="18"/>
  <c r="C10" i="18"/>
  <c r="B16" i="16"/>
  <c r="B28" i="16"/>
  <c r="B32" i="16"/>
  <c r="C24" i="16"/>
  <c r="A23" i="16"/>
  <c r="B20" i="18"/>
  <c r="C33" i="18"/>
  <c r="A47" i="18"/>
  <c r="B17" i="16"/>
  <c r="B37" i="16"/>
  <c r="A32" i="16"/>
  <c r="A18" i="18"/>
  <c r="B31" i="18"/>
  <c r="C44" i="18"/>
  <c r="C33" i="16"/>
  <c r="B10" i="18"/>
  <c r="B18" i="18"/>
  <c r="C23" i="18"/>
  <c r="C31" i="18"/>
  <c r="A37" i="18"/>
  <c r="C39" i="18"/>
  <c r="B42" i="18"/>
  <c r="A45" i="18"/>
  <c r="C47" i="18"/>
  <c r="B50" i="18"/>
  <c r="B12" i="16"/>
  <c r="B20" i="16"/>
  <c r="C12" i="16"/>
  <c r="C28" i="16"/>
  <c r="A31" i="16"/>
  <c r="C25" i="18"/>
  <c r="B36" i="18"/>
  <c r="C49" i="18"/>
  <c r="B29" i="16"/>
  <c r="C12" i="18"/>
  <c r="C28" i="18"/>
  <c r="B47" i="18"/>
  <c r="C29" i="16"/>
  <c r="A25" i="16"/>
  <c r="A21" i="18"/>
  <c r="B34" i="16"/>
  <c r="A16" i="18"/>
  <c r="C50" i="18"/>
  <c r="B36" i="16"/>
  <c r="C20" i="16"/>
  <c r="C32" i="16"/>
  <c r="B12" i="18"/>
  <c r="A23" i="18"/>
  <c r="A31" i="18"/>
  <c r="B44" i="18"/>
  <c r="B13" i="16"/>
  <c r="B33" i="16"/>
  <c r="B23" i="18"/>
  <c r="A34" i="18"/>
  <c r="A50" i="18"/>
  <c r="C13" i="16"/>
  <c r="C25" i="16"/>
  <c r="A13" i="18"/>
  <c r="B26" i="18"/>
  <c r="B14" i="16"/>
  <c r="B26" i="16"/>
  <c r="A26" i="16"/>
  <c r="A34" i="16"/>
  <c r="C18" i="18"/>
  <c r="C26" i="18"/>
  <c r="A32" i="18"/>
  <c r="B37" i="18"/>
  <c r="B45" i="18"/>
  <c r="C18" i="16"/>
  <c r="C22" i="16"/>
  <c r="C26" i="16"/>
  <c r="C30" i="16"/>
  <c r="C34" i="16"/>
  <c r="C38" i="16"/>
  <c r="A11" i="16"/>
  <c r="A19" i="16"/>
  <c r="A27" i="16"/>
  <c r="A35" i="16"/>
  <c r="C13" i="18"/>
  <c r="B16" i="18"/>
  <c r="A19" i="18"/>
  <c r="C21" i="18"/>
  <c r="B24" i="18"/>
  <c r="A27" i="18"/>
  <c r="C29" i="18"/>
  <c r="B32" i="18"/>
  <c r="A35" i="18"/>
  <c r="C37" i="18"/>
  <c r="B40" i="18"/>
  <c r="A43" i="18"/>
  <c r="C45" i="18"/>
  <c r="B48" i="18"/>
  <c r="A15" i="16"/>
  <c r="A39" i="16"/>
  <c r="C17" i="18"/>
  <c r="B28" i="18"/>
  <c r="C41" i="18"/>
  <c r="B25" i="16"/>
  <c r="A16" i="16"/>
  <c r="B15" i="18"/>
  <c r="A26" i="18"/>
  <c r="C36" i="18"/>
  <c r="A42" i="18"/>
  <c r="C21" i="16"/>
  <c r="C37" i="16"/>
  <c r="A33" i="16"/>
  <c r="B34" i="18"/>
  <c r="B18" i="16"/>
  <c r="B30" i="16"/>
  <c r="B38" i="16"/>
  <c r="B21" i="18"/>
  <c r="B29" i="18"/>
  <c r="C34" i="18"/>
  <c r="A40" i="18"/>
  <c r="A48" i="18"/>
  <c r="B15" i="16"/>
  <c r="B19" i="16"/>
  <c r="B23" i="16"/>
  <c r="B27" i="16"/>
  <c r="B31" i="16"/>
  <c r="B35" i="16"/>
  <c r="B39" i="16"/>
  <c r="A12" i="16"/>
  <c r="A20" i="16"/>
  <c r="A28" i="16"/>
  <c r="A36" i="16"/>
  <c r="B11" i="18"/>
  <c r="A14" i="18"/>
  <c r="C16" i="18"/>
  <c r="B19" i="18"/>
  <c r="A22" i="18"/>
  <c r="C24" i="18"/>
  <c r="B27" i="18"/>
  <c r="A30" i="18"/>
  <c r="C32" i="18"/>
  <c r="B35" i="18"/>
  <c r="A38" i="18"/>
  <c r="C40" i="18"/>
  <c r="B43" i="18"/>
  <c r="A46" i="18"/>
  <c r="C48" i="18"/>
  <c r="B24" i="16"/>
  <c r="C16" i="16"/>
  <c r="C36" i="16"/>
  <c r="A15" i="18"/>
  <c r="A39" i="18"/>
  <c r="B21" i="16"/>
  <c r="A24" i="16"/>
  <c r="C20" i="18"/>
  <c r="B39" i="18"/>
  <c r="C17" i="16"/>
  <c r="A17" i="16"/>
  <c r="C15" i="18"/>
  <c r="A29" i="18"/>
  <c r="B22" i="16"/>
  <c r="A18" i="16"/>
  <c r="B13" i="18"/>
  <c r="A24" i="18"/>
  <c r="C42" i="18"/>
  <c r="C14" i="16"/>
  <c r="B11" i="16"/>
  <c r="C11" i="16"/>
  <c r="C15" i="16"/>
  <c r="C19" i="16"/>
  <c r="C23" i="16"/>
  <c r="C27" i="16"/>
  <c r="C31" i="16"/>
  <c r="C35" i="16"/>
  <c r="C39" i="16"/>
  <c r="A13" i="16"/>
  <c r="A21" i="16"/>
  <c r="A29" i="16"/>
  <c r="A37" i="16"/>
  <c r="C11" i="18"/>
  <c r="B14" i="18"/>
  <c r="A17" i="18"/>
  <c r="C19" i="18"/>
  <c r="B22" i="18"/>
  <c r="A25" i="18"/>
  <c r="C27" i="18"/>
  <c r="B30" i="18"/>
  <c r="A33" i="18"/>
  <c r="C35" i="18"/>
  <c r="B38" i="18"/>
  <c r="A41" i="18"/>
  <c r="C43" i="18"/>
  <c r="B46" i="18"/>
  <c r="A49" i="18"/>
  <c r="A14" i="16"/>
  <c r="A22" i="16"/>
  <c r="A30" i="16"/>
  <c r="A38" i="16"/>
  <c r="A12" i="18"/>
  <c r="C14" i="18"/>
  <c r="B17" i="18"/>
  <c r="A20" i="18"/>
  <c r="C22" i="18"/>
  <c r="B25" i="18"/>
  <c r="A28" i="18"/>
  <c r="C30" i="18"/>
  <c r="B33" i="18"/>
  <c r="A36" i="18"/>
  <c r="C38" i="18"/>
  <c r="B41" i="18"/>
  <c r="A44" i="18"/>
  <c r="C46" i="18"/>
  <c r="B49" i="18"/>
  <c r="J10" i="18"/>
  <c r="E11" i="18"/>
  <c r="E19" i="18"/>
  <c r="E27" i="18"/>
  <c r="E35" i="18"/>
  <c r="E43" i="18"/>
  <c r="J43" i="18" s="1"/>
  <c r="E12" i="18"/>
  <c r="E20" i="18"/>
  <c r="E28" i="18"/>
  <c r="E36" i="18"/>
  <c r="E44" i="18"/>
  <c r="E13" i="18"/>
  <c r="E21" i="18"/>
  <c r="E29" i="18"/>
  <c r="J29" i="18" s="1"/>
  <c r="E37" i="18"/>
  <c r="J37" i="18" s="1"/>
  <c r="E45" i="18"/>
  <c r="J45" i="18" s="1"/>
  <c r="E14" i="18"/>
  <c r="E22" i="18"/>
  <c r="E30" i="18"/>
  <c r="E38" i="18"/>
  <c r="J38" i="18" s="1"/>
  <c r="E46" i="18"/>
  <c r="J46" i="18" s="1"/>
  <c r="E15" i="18"/>
  <c r="E23" i="18"/>
  <c r="J23" i="18" s="1"/>
  <c r="E31" i="18"/>
  <c r="E39" i="18"/>
  <c r="E47" i="18"/>
  <c r="E16" i="18"/>
  <c r="E24" i="18"/>
  <c r="E32" i="18"/>
  <c r="J32" i="18" s="1"/>
  <c r="E40" i="18"/>
  <c r="J40" i="18" s="1"/>
  <c r="E48" i="18"/>
  <c r="J48" i="18" s="1"/>
  <c r="E17" i="18"/>
  <c r="E25" i="18"/>
  <c r="E33" i="18"/>
  <c r="E41" i="18"/>
  <c r="J41" i="18" s="1"/>
  <c r="E49" i="18"/>
  <c r="E18" i="18"/>
  <c r="J18" i="18" s="1"/>
  <c r="E26" i="18"/>
  <c r="J26" i="18" s="1"/>
  <c r="E34" i="18"/>
  <c r="J34" i="18" s="1"/>
  <c r="E42" i="18"/>
  <c r="J42" i="18" s="1"/>
  <c r="E50" i="18"/>
  <c r="J50" i="18" s="1"/>
  <c r="B10" i="16"/>
  <c r="C10" i="16"/>
  <c r="J31" i="18" l="1"/>
  <c r="J44" i="18"/>
  <c r="J49" i="18"/>
  <c r="J30" i="18"/>
  <c r="J35" i="18"/>
  <c r="J27" i="18"/>
  <c r="J16" i="18"/>
  <c r="J33" i="18"/>
  <c r="J47" i="18"/>
  <c r="J22" i="18"/>
  <c r="J36" i="18"/>
  <c r="J39" i="18"/>
  <c r="J28" i="18"/>
  <c r="J24" i="18"/>
  <c r="J15" i="18"/>
  <c r="J21" i="18"/>
  <c r="J12" i="18"/>
  <c r="J13" i="18"/>
  <c r="J19" i="18"/>
  <c r="J25" i="18"/>
  <c r="J14" i="18"/>
  <c r="J17" i="18"/>
  <c r="J20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<sst xmlns="http://schemas.openxmlformats.org/spreadsheetml/2006/main" count="1010" uniqueCount="366">
  <si>
    <t>Notes</t>
  </si>
  <si>
    <t>Date/Time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</si>
  <si>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</si>
  <si>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</si>
  <si>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</si>
  <si>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</si>
  <si>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</si>
  <si>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</si>
  <si>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</si>
  <si>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</si>
  <si>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</si>
  <si>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</si>
  <si>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</si>
  <si>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</si>
  <si>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</si>
  <si>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</si>
  <si>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</si>
  <si>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</si>
  <si>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</si>
  <si>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</si>
  <si>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</si>
  <si>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</si>
  <si>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CTD-001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</si>
  <si>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</si>
  <si>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</si>
  <si>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</si>
  <si>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</si>
  <si>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</si>
  <si>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</si>
  <si>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</si>
  <si>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</si>
  <si>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</si>
  <si>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</si>
  <si>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</si>
  <si>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</si>
  <si>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</si>
  <si>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</si>
  <si>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</si>
  <si>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</si>
  <si>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</si>
  <si>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</si>
  <si>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</si>
  <si>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</si>
  <si>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</si>
  <si>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</si>
  <si>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</si>
  <si>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</si>
  <si>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</si>
  <si>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</si>
  <si>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</si>
  <si>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</si>
  <si>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</si>
  <si>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</si>
  <si>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</si>
  <si>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</si>
  <si>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</si>
  <si>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</si>
  <si>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</si>
  <si>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</si>
  <si>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</si>
  <si>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</si>
  <si>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</si>
  <si>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</si>
  <si>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</si>
  <si>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</si>
  <si>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</si>
  <si>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</si>
  <si>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CTD-002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</si>
  <si>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</si>
  <si>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</si>
  <si>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</si>
  <si>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</si>
  <si>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</si>
  <si>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</si>
  <si>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</si>
  <si>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</si>
  <si>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</si>
  <si>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</si>
  <si>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</si>
  <si>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</si>
  <si>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</si>
  <si>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</si>
  <si>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</si>
  <si>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</si>
  <si>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</si>
  <si>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</si>
  <si>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</si>
  <si>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</si>
  <si>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</si>
  <si>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</si>
  <si>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</si>
  <si>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</si>
  <si>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</si>
  <si>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</si>
  <si>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</si>
  <si>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</si>
  <si>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</si>
  <si>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</si>
  <si>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</si>
  <si>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</si>
  <si>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</si>
  <si>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</si>
  <si>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</si>
  <si>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TN382</t>
  </si>
  <si>
    <t>TN382_CTD-001</t>
  </si>
  <si>
    <t>TN382_CTD-002</t>
  </si>
  <si>
    <t>CTD-003</t>
  </si>
  <si>
    <t>TN382_CTD-003</t>
  </si>
  <si>
    <t>CTD-004</t>
  </si>
  <si>
    <t>CTD-005</t>
  </si>
  <si>
    <t>CTD-006</t>
  </si>
  <si>
    <t>CTD-007</t>
  </si>
  <si>
    <t>CTD-008</t>
  </si>
  <si>
    <t>CTD-009</t>
  </si>
  <si>
    <t>CTD-010</t>
  </si>
  <si>
    <t>CTD-011</t>
  </si>
  <si>
    <t>J2-1272</t>
  </si>
  <si>
    <t>Forward</t>
  </si>
  <si>
    <t>Aft</t>
  </si>
  <si>
    <t>Port</t>
  </si>
  <si>
    <t>Starboard</t>
  </si>
  <si>
    <t>TN382_CTD-004</t>
  </si>
  <si>
    <t>TN382_CTD-005</t>
  </si>
  <si>
    <t>TN382_CTD-006</t>
  </si>
  <si>
    <t>TN382_CTD-007</t>
  </si>
  <si>
    <t>TN382_CTD-008</t>
  </si>
  <si>
    <t>TN382_CTD-009</t>
  </si>
  <si>
    <t>TN382_CTD-010</t>
  </si>
  <si>
    <t>TN382_CTD-011</t>
  </si>
  <si>
    <t>J2-1267</t>
  </si>
  <si>
    <t>SA-0361</t>
  </si>
  <si>
    <t>SA-0362</t>
  </si>
  <si>
    <t>SA-0363</t>
  </si>
  <si>
    <t>SA-0364</t>
  </si>
  <si>
    <t>SA-0365</t>
  </si>
  <si>
    <t>265A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</si>
  <si>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</si>
  <si>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</si>
  <si>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</si>
  <si>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</si>
  <si>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</si>
  <si>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</si>
  <si>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</si>
  <si>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</si>
  <si>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</si>
  <si>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</si>
  <si>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</si>
  <si>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</si>
  <si>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</si>
  <si>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</si>
  <si>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</si>
  <si>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No problems noted, Notes/Other</t>
  </si>
  <si>
    <t>Questionable measurement, Notes/Other</t>
  </si>
  <si>
    <t>SA-0366</t>
  </si>
  <si>
    <t>SA-0367</t>
  </si>
  <si>
    <t>SA-0368</t>
  </si>
  <si>
    <t>SA-0369</t>
  </si>
  <si>
    <t>SA-0370</t>
  </si>
  <si>
    <t>SA-0371</t>
  </si>
  <si>
    <t>SA-0372</t>
  </si>
  <si>
    <t>SA-0373</t>
  </si>
  <si>
    <t>SA-0375</t>
  </si>
  <si>
    <t>SA-0376</t>
  </si>
  <si>
    <t>SA-0377</t>
  </si>
  <si>
    <t>SA-0378</t>
  </si>
  <si>
    <t>SA-0379</t>
  </si>
  <si>
    <t>SA-0380</t>
  </si>
  <si>
    <t>SA-0381</t>
  </si>
  <si>
    <t>SA-0382</t>
  </si>
  <si>
    <t>SA-0383</t>
  </si>
  <si>
    <t>SA-0384</t>
  </si>
  <si>
    <t>SA-5457</t>
  </si>
  <si>
    <t>SA-5458</t>
  </si>
  <si>
    <t>SA-5459</t>
  </si>
  <si>
    <t>SA-5460</t>
  </si>
  <si>
    <t>SA-5461</t>
  </si>
  <si>
    <t>SA-5462</t>
  </si>
  <si>
    <t>SA-5463</t>
  </si>
  <si>
    <t>SA-5464</t>
  </si>
  <si>
    <t>SA-5465</t>
  </si>
  <si>
    <t>SA-5466</t>
  </si>
  <si>
    <t>SA-5467</t>
  </si>
  <si>
    <t>SA-5468</t>
  </si>
  <si>
    <t>SA-5469</t>
  </si>
  <si>
    <t>SA-5470</t>
  </si>
  <si>
    <t>SA-5471</t>
  </si>
  <si>
    <t>SA-5472</t>
  </si>
  <si>
    <t>SA-5473</t>
  </si>
  <si>
    <t>SA-5474</t>
  </si>
  <si>
    <t>2020-08-09T15:15:00.000Z</t>
  </si>
  <si>
    <t>2020-08-09T15:21:00.000Z</t>
  </si>
  <si>
    <t>2020-08-09T15:27:00.000Z</t>
  </si>
  <si>
    <t>2020-08-09T15:37:00.000Z</t>
  </si>
  <si>
    <t>2020-08-09T15:44:00.000Z</t>
  </si>
  <si>
    <t>2020-08-09T15:51:00.000Z</t>
  </si>
  <si>
    <t>2020-08-09T16:02:00.000Z</t>
  </si>
  <si>
    <t>2020-08-09T16:09:00.000Z</t>
  </si>
  <si>
    <t>2020-08-09T16:15:00.000Z</t>
  </si>
  <si>
    <t>2020-08-09T16:23:00.000Z</t>
  </si>
  <si>
    <t>2020-08-09T16:29:00.000Z</t>
  </si>
  <si>
    <t>2020-08-11T13:26:00.000Z</t>
  </si>
  <si>
    <t>2020-08-09T16:35:00.000Z</t>
  </si>
  <si>
    <t>2020-08-11T13:32:00.000Z</t>
  </si>
  <si>
    <t>2020-08-11T13:38:00.000Z</t>
  </si>
  <si>
    <t>2020-08-11T13:45:00.000Z</t>
  </si>
  <si>
    <t>2020-08-11T13:53:00.000Z</t>
  </si>
  <si>
    <t>2020-08-11T14:01:00.000Z</t>
  </si>
  <si>
    <t>2020-08-11T20:39:00.000Z</t>
  </si>
  <si>
    <t>2020-08-11T20:40:00.000Z</t>
  </si>
  <si>
    <t>2020-08-11T20:41:00.000Z</t>
  </si>
  <si>
    <t>2020-08-11T20:42:00.000Z</t>
  </si>
  <si>
    <t>2020-08-11T20:44:00.000Z</t>
  </si>
  <si>
    <t>2020-08-11T20:47:00.000Z</t>
  </si>
  <si>
    <t>2020-08-11T20:58:00.000Z</t>
  </si>
  <si>
    <t>2020-08-11T21:01:00.000Z</t>
  </si>
  <si>
    <t>2020-08-11T21:02:00.000Z</t>
  </si>
  <si>
    <t>2020-08-11T21:00:00.000Z</t>
  </si>
  <si>
    <t>2020-08-13T00:19:00.000Z</t>
  </si>
  <si>
    <t>2020-08-13T00:17:00.000Z</t>
  </si>
  <si>
    <t>132A</t>
  </si>
  <si>
    <t>270A</t>
  </si>
  <si>
    <t>271A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</si>
  <si>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</si>
  <si>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</si>
  <si>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</si>
  <si>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</si>
  <si>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</si>
  <si>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</si>
  <si>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</si>
  <si>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</si>
  <si>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</si>
  <si>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</si>
  <si>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</si>
  <si>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</si>
  <si>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</si>
  <si>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</si>
  <si>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</si>
  <si>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sample lost</t>
  </si>
  <si>
    <t>bubbles inside, bottle broken</t>
  </si>
  <si>
    <t>Oxygen Flag: "bubbles inside, bottle broken"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</si>
  <si>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</si>
  <si>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</si>
  <si>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</si>
  <si>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</si>
  <si>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</si>
  <si>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</si>
  <si>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</si>
  <si>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</si>
  <si>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</si>
  <si>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</si>
  <si>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</si>
  <si>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</si>
  <si>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</si>
  <si>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</si>
  <si>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</si>
  <si>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</si>
  <si>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</si>
  <si>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Niskin Flag: "flow blocked after nutrient samples"</t>
  </si>
  <si>
    <t>Niskin Flag: "colder than Forward Niskin"</t>
  </si>
  <si>
    <t>IGT-Blk</t>
  </si>
  <si>
    <t>Calibration coefficients &gt; 1 year old, Acceptable measurement</t>
  </si>
  <si>
    <t>CE02SHSM</t>
  </si>
  <si>
    <t>Oxygen Concentration (mL/L)</t>
  </si>
  <si>
    <t>no lat/long/depth listed in sealogExport; data excerpted from TN382_J2-1272_20200813_0600.CSV - line 200</t>
  </si>
  <si>
    <t>J2-1272_sealogExport.csv - line 620</t>
  </si>
  <si>
    <t>Forward Niskin fired @ 5.9m</t>
  </si>
  <si>
    <t>2020-08-13T06:03:15.800Z</t>
  </si>
  <si>
    <t>J2-1272_sealogExport.csv - line 462</t>
  </si>
  <si>
    <t>Aft niskin fired</t>
  </si>
  <si>
    <t>2020-08-13T05:38:00.893Z</t>
  </si>
  <si>
    <t>J2-1267_sealogExport.csv - line 1328</t>
  </si>
  <si>
    <t>Triggering BLACK major water sampler</t>
  </si>
  <si>
    <t>Majors</t>
  </si>
  <si>
    <t>2020-08-09T23:05:49.686Z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</si>
  <si>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</si>
  <si>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</si>
  <si>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</si>
  <si>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</si>
  <si>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</si>
  <si>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</si>
  <si>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</si>
  <si>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</si>
  <si>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</si>
  <si>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2020-08-09T23:05:44.686Z</t>
  </si>
  <si>
    <t>2020-08-13T05:33:00.893Z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</si>
  <si>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</si>
  <si>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</si>
  <si>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</si>
  <si>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</si>
  <si>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</si>
  <si>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</si>
  <si>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</si>
  <si>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</si>
  <si>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</si>
  <si>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TN382_J2-1267_20200809_2300</t>
  </si>
  <si>
    <t>TN382_J2-1272_20200813_combined</t>
  </si>
  <si>
    <t>SA-0374</t>
  </si>
  <si>
    <t>overtitrated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</si>
  <si>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</si>
  <si>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</si>
  <si>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</si>
  <si>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</si>
  <si>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</si>
  <si>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</si>
  <si>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</si>
  <si>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</si>
  <si>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</si>
  <si>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</si>
  <si>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</si>
  <si>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</si>
  <si>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</si>
  <si>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</si>
  <si>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</si>
  <si>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</si>
  <si>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</si>
  <si>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</si>
  <si>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</si>
  <si>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</si>
  <si>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</si>
  <si>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</si>
  <si>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</si>
  <si>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</si>
  <si>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</si>
  <si>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</si>
  <si>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</si>
  <si>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</si>
  <si>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</si>
  <si>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</si>
  <si>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</si>
  <si>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</si>
  <si>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</si>
  <si>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</si>
  <si>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</si>
  <si>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</si>
  <si>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</si>
  <si>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</si>
  <si>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</si>
  <si>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</si>
  <si>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</si>
  <si>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</si>
  <si>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</si>
  <si>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</si>
  <si>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</si>
  <si>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Oxygen Flag: "over-titrated"</t>
  </si>
  <si>
    <t>Acceptable; sample processed according to SOP, Notes/Other</t>
  </si>
  <si>
    <t>Cast Flag: "No cast log, MAJORs sample"</t>
  </si>
  <si>
    <t>CTD File Flag: "Combined ROV CTD files "20200813_0500.CT2 and 20200813_0600.CT2 to cover timestamps of both Niskin triggers"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</si>
  <si>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</si>
  <si>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</si>
  <si>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</si>
  <si>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</si>
  <si>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</si>
  <si>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</si>
  <si>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</si>
  <si>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</si>
  <si>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</si>
  <si>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</si>
  <si>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</si>
  <si>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RS01SBPS,RS01SBPD</t>
  </si>
  <si>
    <t>RS03AXPS,RS03AXPD</t>
  </si>
  <si>
    <t>CE04OSPS,CE04OSPD</t>
  </si>
  <si>
    <t>CE04OSBP,CE02SHSM</t>
  </si>
  <si>
    <t>Notes/Other,ROV bottle sample</t>
  </si>
  <si>
    <t>Slope Base Junction Box LJ01A</t>
  </si>
  <si>
    <t>CTDPFB101</t>
  </si>
  <si>
    <t>DOSTAD101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</si>
</sst>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Border="1"/>
    <xf numFmtId="0" fontId="0" fillId="0" borderId="0" xfId="0" applyBorder="1" applyAlignment="1"/>
    <xf numFmtId="0" fontId="2" fillId="0" borderId="0" xfId="0" applyFont="1"/>
    <xf numFmtId="49" fontId="1" fillId="0" borderId="0" xfId="0" applyNumberFormat="1" applyFont="1" applyFill="1" applyBorder="1" applyAlignment="1">
      <alignment horizontal="right"/>
    </xf>
    <xf numFmtId="49" fontId="1" fillId="0" borderId="0" xfId="0" applyNumberFormat="1" applyFont="1" applyAlignment="1">
      <alignment horizontal="right"/>
    </xf>
    <xf numFmtId="0" fontId="0" fillId="2" borderId="0" xfId="0" applyFill="1"/>
    <xf numFmtId="0" fontId="0" fillId="3" borderId="0" xfId="0" applyFill="1"/>
    <xf numFmtId="0" fontId="0" fillId="0" borderId="0" xfId="0" applyFill="1"/>
    <xf numFmtId="49" fontId="1" fillId="0" borderId="0" xfId="0" applyNumberFormat="1" applyFont="1" applyFill="1" applyAlignment="1">
      <alignment horizontal="right"/>
    </xf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 applyAlignment="1"/>
    <xf numFmtId="0" fontId="2" fillId="0" borderId="1" xfId="0" applyFont="1" applyBorder="1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1" fillId="0" borderId="0" xfId="0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/>
    <xf numFmtId="2" fontId="0" fillId="2" borderId="0" xfId="0" applyNumberFormat="1" applyFill="1"/>
    <xf numFmtId="2" fontId="1" fillId="0" borderId="0" xfId="0" applyNumberFormat="1" applyFont="1" applyAlignment="1">
      <alignment horizontal="right"/>
    </xf>
    <xf numFmtId="2" fontId="0" fillId="0" borderId="0" xfId="0" applyNumberFormat="1"/>
    <xf numFmtId="0" fontId="1" fillId="0" borderId="0" xfId="0" applyNumberFormat="1" applyFont="1" applyAlignment="1">
      <alignment horizontal="right"/>
    </xf>
    <xf numFmtId="0" fontId="2" fillId="0" borderId="0" xfId="0" applyFont="1" applyBorder="1"/>
    <xf numFmtId="0" fontId="0" fillId="0" borderId="1" xfId="0" applyNumberFormat="1" applyBorder="1" applyAlignment="1"/>
    <xf numFmtId="0" fontId="0" fillId="0" borderId="0" xfId="0" applyNumberFormat="1"/>
    <xf numFmtId="0" fontId="0" fillId="0" borderId="0" xfId="0" applyFill="1" applyBorder="1"/>
    <xf numFmtId="0" fontId="0" fillId="2" borderId="0" xfId="0" applyFont="1" applyFill="1"/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0" borderId="1" xfId="0" applyBorder="1" applyAlignment="1"/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/>
    <xf numFmtId="0" fontId="2" fillId="0" borderId="2" xfId="0" applyFont="1" applyBorder="1" applyAlignment="1">
      <alignment horizontal="center" vertical="center" wrapText="1"/>
    </xf>
    <xf numFmtId="0" fontId="2" fillId="4" borderId="2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0" xfId="0" applyAlignment="1"/>
    <xf numFmtId="0" fontId="2" fillId="0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0" fillId="0" borderId="0" xfId="0" applyBorder="1" applyAlignment="1"/>
    <xf numFmtId="0" fontId="2" fillId="2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6F4B-C215-F84B-95AE-8E9911097675}">
  <sheetPr codeName="Sheet7">
    <tabColor theme="5"/>
  </sheetPr>
  <dimension ref="A3:B20"/>
  <sheetViews>
    <sheetView workbookViewId="0"/>
  </sheetViews>
  <sheetFormatPr baseColWidth="10" defaultRowHeight="16" x14ac:dyDescent="0.2"/>
  <sheetData>
    <row r="3" spans="1:2" x14ac:dyDescent="0.2">
      <c r="A3" t="s">
        <v>338</v>
      </c>
      <c r="B3" t="s">
        <v>339</v>
      </c>
    </row>
    <row r="4" spans="1:2" x14ac:dyDescent="0.2">
      <c r="B4" t="s">
        <v>341</v>
      </c>
    </row>
    <row r="5" spans="1:2" x14ac:dyDescent="0.2">
      <c r="A5" t="s">
        <v>340</v>
      </c>
      <c r="B5" t="s">
        <v>342</v>
      </c>
    </row>
    <row r="9" spans="1:2" x14ac:dyDescent="0.2">
      <c r="A9" s="32" t="s">
        <v>347</v>
      </c>
    </row>
    <row r="11" spans="1:2" x14ac:dyDescent="0.2">
      <c r="A11" s="32" t="s">
        <v>348</v>
      </c>
    </row>
    <row r="12" spans="1:2" x14ac:dyDescent="0.2">
      <c r="A12" s="32" t="s">
        <v>349</v>
      </c>
    </row>
    <row r="13" spans="1:2" x14ac:dyDescent="0.2">
      <c r="A13" s="32" t="s">
        <v>350</v>
      </c>
    </row>
    <row r="14" spans="1:2" x14ac:dyDescent="0.2">
      <c r="A14" s="32" t="s">
        <v>351</v>
      </c>
    </row>
    <row r="15" spans="1:2" x14ac:dyDescent="0.2">
      <c r="A15" s="32" t="s">
        <v>352</v>
      </c>
    </row>
    <row r="16" spans="1:2" x14ac:dyDescent="0.2">
      <c r="A16" s="32" t="s">
        <v>353</v>
      </c>
    </row>
    <row r="17" spans="1:1" x14ac:dyDescent="0.2">
      <c r="A17" s="32" t="s">
        <v>354</v>
      </c>
    </row>
    <row r="18" spans="1:1" x14ac:dyDescent="0.2">
      <c r="A18" s="32" t="s">
        <v>355</v>
      </c>
    </row>
    <row r="19" spans="1:1" x14ac:dyDescent="0.2">
      <c r="A19" s="32" t="s">
        <v>356</v>
      </c>
    </row>
    <row r="20" spans="1:1" x14ac:dyDescent="0.2">
      <c r="A20" s="32" t="s">
        <v>357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D02C8-276B-1649-96B0-72C50993AD20}">
  <sheetPr codeName="Sheet2">
    <tabColor rgb="FF92D050"/>
  </sheetPr>
  <dimension ref="A1:I19"/>
  <sheetViews>
    <sheetView zoomScale="112" workbookViewId="0">
      <selection activeCell="C21" sqref="C21"/>
    </sheetView>
  </sheetViews>
  <sheetFormatPr baseColWidth="10" defaultColWidth="12.33203125" defaultRowHeight="16" x14ac:dyDescent="0.2"/>
  <cols>
    <col min="2" max="2" width="39.33203125" bestFit="1" customWidth="1"/>
    <col min="3" max="3" width="28.83203125" bestFit="1" customWidth="1"/>
    <col min="5" max="5" width="29.5" customWidth="1"/>
    <col min="6" max="6" width="30.33203125" bestFit="1" customWidth="1"/>
    <col min="7" max="7" width="36" bestFit="1" customWidth="1"/>
    <col min="8" max="8" width="37.6640625" style="21" bestFit="1" customWidth="1"/>
  </cols>
  <sheetData>
    <row r="1" spans="1:9" x14ac:dyDescent="0.2">
      <c r="A1" s="6" t="s">
        <v>16</v>
      </c>
      <c r="B1" s="7" t="s">
        <v>17</v>
      </c>
      <c r="C1" s="7" t="s">
        <v>18</v>
      </c>
      <c r="D1" s="6" t="s">
        <v>15</v>
      </c>
      <c r="E1" s="7" t="s">
        <v>19</v>
      </c>
      <c r="F1" s="6" t="s">
        <v>70</v>
      </c>
      <c r="G1" s="6" t="s">
        <v>71</v>
      </c>
      <c r="H1" s="20" t="s">
        <v>72</v>
      </c>
      <c r="I1" s="6" t="s">
        <v>0</v>
      </c>
    </row>
    <row r="2" spans="1:9" s="8" customFormat="1" x14ac:dyDescent="0.2">
      <c r="A2" s="8" t="s">
        <v>103</v>
      </c>
      <c r="B2" s="8" t="s">
        <v>79</v>
      </c>
      <c r="C2" s="4" t="s">
        <v>358</v>
      </c>
      <c r="D2" s="8" t="s">
        <v>22</v>
      </c>
      <c r="E2" s="4" t="s">
        <v>25</v>
      </c>
      <c r="F2" s="8">
        <v>2905</v>
      </c>
      <c r="G2" s="8" t="s">
        <v>104</v>
      </c>
      <c r="H2" s="19" t="s">
        <v>39</v>
      </c>
    </row>
    <row r="3" spans="1:9" s="8" customFormat="1" x14ac:dyDescent="0.2">
      <c r="A3" s="8" t="s">
        <v>103</v>
      </c>
      <c r="B3" s="8" t="s">
        <v>331</v>
      </c>
      <c r="C3" s="4" t="s">
        <v>359</v>
      </c>
      <c r="D3" s="8" t="s">
        <v>67</v>
      </c>
      <c r="E3" s="4" t="s">
        <v>25</v>
      </c>
      <c r="F3" s="8">
        <v>2624</v>
      </c>
      <c r="G3" s="8" t="s">
        <v>105</v>
      </c>
      <c r="H3" s="19" t="s">
        <v>38</v>
      </c>
    </row>
    <row r="4" spans="1:9" s="8" customFormat="1" x14ac:dyDescent="0.2">
      <c r="A4" s="8" t="s">
        <v>103</v>
      </c>
      <c r="B4" s="8" t="s">
        <v>331</v>
      </c>
      <c r="C4" s="4" t="s">
        <v>359</v>
      </c>
      <c r="D4" s="8" t="s">
        <v>106</v>
      </c>
      <c r="E4" s="4" t="s">
        <v>25</v>
      </c>
      <c r="F4" s="8">
        <v>2624</v>
      </c>
      <c r="G4" s="8" t="s">
        <v>107</v>
      </c>
      <c r="H4" s="19" t="s">
        <v>39</v>
      </c>
    </row>
    <row r="5" spans="1:9" s="8" customFormat="1" x14ac:dyDescent="0.2">
      <c r="A5" s="8" t="s">
        <v>103</v>
      </c>
      <c r="B5" s="8" t="s">
        <v>331</v>
      </c>
      <c r="C5" s="4" t="s">
        <v>359</v>
      </c>
      <c r="D5" s="8" t="s">
        <v>108</v>
      </c>
      <c r="E5" s="4" t="s">
        <v>25</v>
      </c>
      <c r="F5" s="8">
        <v>2624</v>
      </c>
      <c r="G5" s="8" t="s">
        <v>121</v>
      </c>
      <c r="H5" s="19" t="s">
        <v>39</v>
      </c>
    </row>
    <row r="6" spans="1:9" s="8" customFormat="1" x14ac:dyDescent="0.2">
      <c r="A6" s="8" t="s">
        <v>103</v>
      </c>
      <c r="B6" s="8" t="s">
        <v>320</v>
      </c>
      <c r="C6" s="4" t="s">
        <v>358</v>
      </c>
      <c r="D6" s="8" t="s">
        <v>109</v>
      </c>
      <c r="E6" s="4" t="s">
        <v>25</v>
      </c>
      <c r="F6" s="8">
        <v>2908</v>
      </c>
      <c r="G6" s="8" t="s">
        <v>122</v>
      </c>
      <c r="H6" s="19" t="s">
        <v>38</v>
      </c>
    </row>
    <row r="7" spans="1:9" s="8" customFormat="1" x14ac:dyDescent="0.2">
      <c r="A7" s="8" t="s">
        <v>103</v>
      </c>
      <c r="B7" s="8" t="s">
        <v>320</v>
      </c>
      <c r="C7" s="4" t="s">
        <v>358</v>
      </c>
      <c r="D7" s="8" t="s">
        <v>110</v>
      </c>
      <c r="E7" s="4" t="s">
        <v>25</v>
      </c>
      <c r="F7" s="8">
        <v>2908</v>
      </c>
      <c r="G7" s="8" t="s">
        <v>123</v>
      </c>
      <c r="H7" s="19" t="s">
        <v>39</v>
      </c>
    </row>
    <row r="8" spans="1:9" s="8" customFormat="1" x14ac:dyDescent="0.2">
      <c r="A8" s="8" t="s">
        <v>103</v>
      </c>
      <c r="B8" s="8" t="s">
        <v>320</v>
      </c>
      <c r="C8" s="4" t="s">
        <v>358</v>
      </c>
      <c r="D8" s="8" t="s">
        <v>111</v>
      </c>
      <c r="E8" s="4" t="s">
        <v>25</v>
      </c>
      <c r="F8" s="8">
        <v>2908</v>
      </c>
      <c r="G8" s="8" t="s">
        <v>124</v>
      </c>
      <c r="H8" s="19" t="s">
        <v>39</v>
      </c>
    </row>
    <row r="9" spans="1:9" s="8" customFormat="1" x14ac:dyDescent="0.2">
      <c r="A9" s="8" t="s">
        <v>103</v>
      </c>
      <c r="B9" s="8" t="s">
        <v>299</v>
      </c>
      <c r="C9" s="4" t="s">
        <v>360</v>
      </c>
      <c r="D9" s="8" t="s">
        <v>112</v>
      </c>
      <c r="E9" s="4" t="s">
        <v>25</v>
      </c>
      <c r="F9" s="8">
        <v>585</v>
      </c>
      <c r="G9" s="8" t="s">
        <v>125</v>
      </c>
      <c r="H9" s="19" t="s">
        <v>38</v>
      </c>
    </row>
    <row r="10" spans="1:9" s="8" customFormat="1" x14ac:dyDescent="0.2">
      <c r="A10" s="8" t="s">
        <v>103</v>
      </c>
      <c r="B10" s="8" t="s">
        <v>299</v>
      </c>
      <c r="C10" s="4" t="s">
        <v>360</v>
      </c>
      <c r="D10" s="8" t="s">
        <v>113</v>
      </c>
      <c r="E10" s="4" t="s">
        <v>25</v>
      </c>
      <c r="F10" s="8">
        <v>585</v>
      </c>
      <c r="G10" s="8" t="s">
        <v>126</v>
      </c>
      <c r="H10" s="19" t="s">
        <v>39</v>
      </c>
    </row>
    <row r="11" spans="1:9" s="8" customFormat="1" x14ac:dyDescent="0.2">
      <c r="A11" s="8" t="s">
        <v>103</v>
      </c>
      <c r="B11" s="8" t="s">
        <v>299</v>
      </c>
      <c r="C11" s="4" t="s">
        <v>360</v>
      </c>
      <c r="D11" s="8" t="s">
        <v>114</v>
      </c>
      <c r="E11" s="4" t="s">
        <v>25</v>
      </c>
      <c r="F11" s="8">
        <v>585</v>
      </c>
      <c r="G11" s="8" t="s">
        <v>127</v>
      </c>
      <c r="H11" s="19" t="s">
        <v>39</v>
      </c>
    </row>
    <row r="12" spans="1:9" s="8" customFormat="1" x14ac:dyDescent="0.2">
      <c r="A12" s="8" t="s">
        <v>103</v>
      </c>
      <c r="B12" s="8" t="s">
        <v>337</v>
      </c>
      <c r="C12" s="4" t="s">
        <v>245</v>
      </c>
      <c r="D12" s="8" t="s">
        <v>115</v>
      </c>
      <c r="E12" s="4" t="s">
        <v>25</v>
      </c>
      <c r="F12" s="8">
        <v>775</v>
      </c>
      <c r="G12" s="8" t="s">
        <v>128</v>
      </c>
      <c r="H12" s="19" t="s">
        <v>38</v>
      </c>
    </row>
    <row r="13" spans="1:9" s="8" customFormat="1" x14ac:dyDescent="0.2">
      <c r="A13" s="8" t="s">
        <v>103</v>
      </c>
      <c r="B13" s="8" t="s">
        <v>298</v>
      </c>
      <c r="C13" s="4" t="s">
        <v>244</v>
      </c>
      <c r="D13" s="8" t="s">
        <v>129</v>
      </c>
      <c r="E13" s="4" t="s">
        <v>362</v>
      </c>
      <c r="F13" s="8">
        <v>1520</v>
      </c>
      <c r="G13" s="8" t="s">
        <v>294</v>
      </c>
      <c r="H13" s="19" t="s">
        <v>39</v>
      </c>
      <c r="I13" s="8" t="s">
        <v>345</v>
      </c>
    </row>
    <row r="14" spans="1:9" s="8" customFormat="1" x14ac:dyDescent="0.2">
      <c r="A14" s="8" t="s">
        <v>103</v>
      </c>
      <c r="B14" s="8" t="s">
        <v>334</v>
      </c>
      <c r="C14" s="4" t="s">
        <v>361</v>
      </c>
      <c r="D14" s="8" t="s">
        <v>116</v>
      </c>
      <c r="E14" s="4" t="s">
        <v>36</v>
      </c>
      <c r="F14" s="8">
        <v>81</v>
      </c>
      <c r="G14" s="8" t="s">
        <v>295</v>
      </c>
      <c r="H14" s="19" t="s">
        <v>23</v>
      </c>
      <c r="I14" s="8" t="s">
        <v>346</v>
      </c>
    </row>
    <row r="15" spans="1:9" s="8" customFormat="1" x14ac:dyDescent="0.2">
      <c r="C15" s="4"/>
      <c r="E15" s="4"/>
      <c r="H15" s="19"/>
    </row>
    <row r="16" spans="1:9" s="8" customFormat="1" x14ac:dyDescent="0.2">
      <c r="C16" s="4"/>
      <c r="E16" s="4"/>
      <c r="H16" s="19"/>
    </row>
    <row r="17" spans="3:8" s="8" customFormat="1" x14ac:dyDescent="0.2">
      <c r="C17" s="4"/>
      <c r="E17" s="4"/>
      <c r="H17" s="19"/>
    </row>
    <row r="18" spans="3:8" s="8" customFormat="1" x14ac:dyDescent="0.2">
      <c r="C18" s="4"/>
      <c r="E18" s="4"/>
      <c r="H18" s="19"/>
    </row>
    <row r="19" spans="3:8" s="8" customFormat="1" x14ac:dyDescent="0.2">
      <c r="C19" s="4"/>
      <c r="E19" s="4"/>
      <c r="H19" s="1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D57D0393-E245-454A-90B7-E6FDB415A8C1}">
          <x14:formula1>
            <xm:f>_Flags_!$B$2:$B$17</xm:f>
          </x14:formula1>
          <xm:sqref>E2:E19</xm:sqref>
        </x14:dataValidation>
        <x14:dataValidation type="list" allowBlank="1" showInputMessage="1" showErrorMessage="1" xr:uid="{A523FCC1-6FA1-F846-8683-1DCFA5C1E3A3}">
          <x14:formula1>
            <xm:f>_Flags_!$C$2:$C$17</xm:f>
          </x14:formula1>
          <xm:sqref>H2:H19</xm:sqref>
        </x14:dataValidation>
        <x14:dataValidation type="list" allowBlank="1" showInputMessage="1" showErrorMessage="1" xr:uid="{23E1105D-CA23-0E45-B099-0993C9866248}">
          <x14:formula1>
            <xm:f>'  _Stations_  '!$A:$A</xm:f>
          </x14:formula1>
          <xm:sqref>B2:B14</xm:sqref>
        </x14:dataValidation>
        <x14:dataValidation type="list" allowBlank="1" showInputMessage="1" showErrorMessage="1" xr:uid="{CA68340A-65DE-2A4E-A3AD-B757C01C829A}">
          <x14:formula1>
            <xm:f>'  _Stations_  '!$A$1:$A$48</xm:f>
          </x14:formula1>
          <xm:sqref>B15:B19</xm:sqref>
        </x14:dataValidation>
        <x14:dataValidation type="list" allowBlank="1" showInputMessage="1" showErrorMessage="1" xr:uid="{0543B6BB-5DC4-B54B-A963-922B5811A033}">
          <x14:formula1>
            <xm:f>_TargetAssets_!$A:$A</xm:f>
          </x14:formula1>
          <xm:sqref>C2:C14</xm:sqref>
        </x14:dataValidation>
        <x14:dataValidation type="list" allowBlank="1" showInputMessage="1" showErrorMessage="1" xr:uid="{275DA975-B0A2-1A4E-B9C9-21EA70BBFF30}">
          <x14:formula1>
            <xm:f>_TargetAssets_!$A$1:$A$13</xm:f>
          </x14:formula1>
          <xm:sqref>C15:C19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2C800-AB7A-6748-B097-854703CA6774}">
  <sheetPr codeName="Sheet1">
    <tabColor rgb="FF92D050"/>
  </sheetPr>
  <dimension ref="A1:AC151"/>
  <sheetViews>
    <sheetView zoomScaleNormal="100" workbookViewId="0">
      <pane ySplit="1" topLeftCell="A2" activePane="bottomLeft" state="frozen"/>
      <selection pane="bottomLeft"/>
    </sheetView>
  </sheetViews>
  <sheetFormatPr baseColWidth="10" defaultRowHeight="16" x14ac:dyDescent="0.2"/>
  <cols>
    <col min="1" max="1" width="8" bestFit="1" customWidth="1"/>
    <col min="2" max="2" width="19.1640625" bestFit="1" customWidth="1"/>
    <col min="3" max="3" width="17" bestFit="1" customWidth="1"/>
    <col min="4" max="4" width="11.83203125" bestFit="1" customWidth="1"/>
    <col min="5" max="5" width="20" bestFit="1" customWidth="1"/>
    <col min="6" max="6" width="18.5" bestFit="1" customWidth="1"/>
    <col min="7" max="7" width="27" bestFit="1" customWidth="1"/>
    <col min="8" max="8" width="16.6640625" bestFit="1" customWidth="1"/>
    <col min="9" max="9" width="15" bestFit="1" customWidth="1"/>
    <col min="10" max="10" width="23.5" bestFit="1" customWidth="1"/>
    <col min="11" max="11" width="24.83203125" bestFit="1" customWidth="1"/>
    <col min="12" max="12" width="20" bestFit="1" customWidth="1"/>
    <col min="13" max="13" width="28.5" bestFit="1" customWidth="1"/>
    <col min="14" max="14" width="19" bestFit="1" customWidth="1"/>
    <col min="15" max="15" width="16.83203125" bestFit="1" customWidth="1"/>
    <col min="16" max="16" width="25.1640625" bestFit="1" customWidth="1"/>
    <col min="17" max="17" width="21.5" bestFit="1" customWidth="1"/>
    <col min="18" max="18" width="14.5" bestFit="1" customWidth="1"/>
    <col min="19" max="19" width="23" bestFit="1" customWidth="1"/>
    <col min="20" max="20" width="20.83203125" bestFit="1" customWidth="1"/>
    <col min="21" max="21" width="20.1640625" bestFit="1" customWidth="1"/>
    <col min="22" max="22" width="28.6640625" bestFit="1" customWidth="1"/>
    <col min="23" max="23" width="20" bestFit="1" customWidth="1"/>
    <col min="24" max="24" width="18.5" bestFit="1" customWidth="1"/>
    <col min="25" max="25" width="27" bestFit="1" customWidth="1"/>
    <col min="26" max="26" width="23.1640625" style="25" bestFit="1" customWidth="1"/>
    <col min="27" max="27" width="23.33203125" bestFit="1" customWidth="1"/>
    <col min="28" max="28" width="31.83203125" bestFit="1" customWidth="1"/>
  </cols>
  <sheetData>
    <row r="1" spans="1:29" x14ac:dyDescent="0.2">
      <c r="A1" s="7" t="s">
        <v>15</v>
      </c>
      <c r="B1" s="7" t="s">
        <v>73</v>
      </c>
      <c r="C1" s="7" t="s">
        <v>20</v>
      </c>
      <c r="D1" s="6" t="s">
        <v>92</v>
      </c>
      <c r="E1" s="6" t="s">
        <v>146</v>
      </c>
      <c r="F1" s="7" t="s">
        <v>136</v>
      </c>
      <c r="G1" s="7" t="s">
        <v>137</v>
      </c>
      <c r="H1" s="6" t="s">
        <v>150</v>
      </c>
      <c r="I1" s="7" t="s">
        <v>144</v>
      </c>
      <c r="J1" s="7" t="s">
        <v>145</v>
      </c>
      <c r="K1" s="31" t="s">
        <v>291</v>
      </c>
      <c r="L1" s="7" t="s">
        <v>285</v>
      </c>
      <c r="M1" s="7" t="s">
        <v>286</v>
      </c>
      <c r="N1" s="6" t="s">
        <v>292</v>
      </c>
      <c r="O1" s="7" t="s">
        <v>287</v>
      </c>
      <c r="P1" s="7" t="s">
        <v>288</v>
      </c>
      <c r="Q1" s="6" t="s">
        <v>293</v>
      </c>
      <c r="R1" s="7" t="s">
        <v>289</v>
      </c>
      <c r="S1" s="7" t="s">
        <v>290</v>
      </c>
      <c r="T1" s="6" t="s">
        <v>149</v>
      </c>
      <c r="U1" s="7" t="s">
        <v>140</v>
      </c>
      <c r="V1" s="7" t="s">
        <v>141</v>
      </c>
      <c r="W1" s="6" t="s">
        <v>148</v>
      </c>
      <c r="X1" s="7" t="s">
        <v>142</v>
      </c>
      <c r="Y1" s="7" t="s">
        <v>143</v>
      </c>
      <c r="Z1" s="23" t="s">
        <v>147</v>
      </c>
      <c r="AA1" s="7" t="s">
        <v>138</v>
      </c>
      <c r="AB1" s="22" t="s">
        <v>139</v>
      </c>
      <c r="AC1" s="6" t="s">
        <v>0</v>
      </c>
    </row>
    <row r="2" spans="1:29" x14ac:dyDescent="0.2">
      <c r="A2" t="s">
        <v>22</v>
      </c>
      <c r="B2" s="8">
        <v>6</v>
      </c>
      <c r="C2" s="9" t="s">
        <v>52</v>
      </c>
      <c r="D2">
        <v>1800</v>
      </c>
      <c r="G2" s="5"/>
      <c r="J2" s="5"/>
      <c r="K2" s="8"/>
      <c r="L2" s="8"/>
      <c r="M2" s="8"/>
      <c r="V2" s="5"/>
      <c r="W2" t="s">
        <v>130</v>
      </c>
      <c r="X2" t="s">
        <v>59</v>
      </c>
      <c r="Y2" s="5" t="s">
        <v>63</v>
      </c>
      <c r="Z2" s="24"/>
      <c r="AB2" s="5"/>
    </row>
    <row r="3" spans="1:29" x14ac:dyDescent="0.2">
      <c r="A3" t="s">
        <v>22</v>
      </c>
      <c r="B3" s="8">
        <v>8</v>
      </c>
      <c r="C3" s="9" t="s">
        <v>52</v>
      </c>
      <c r="D3">
        <v>1000</v>
      </c>
      <c r="G3" s="5"/>
      <c r="J3" s="5"/>
      <c r="V3" s="5"/>
      <c r="W3" t="s">
        <v>131</v>
      </c>
      <c r="X3" t="s">
        <v>59</v>
      </c>
      <c r="Y3" s="5" t="s">
        <v>63</v>
      </c>
      <c r="Z3" s="24"/>
      <c r="AB3" s="5"/>
    </row>
    <row r="4" spans="1:29" x14ac:dyDescent="0.2">
      <c r="A4" t="s">
        <v>22</v>
      </c>
      <c r="B4" s="8">
        <v>10</v>
      </c>
      <c r="C4" s="9" t="s">
        <v>52</v>
      </c>
      <c r="D4">
        <v>500</v>
      </c>
      <c r="G4" s="5"/>
      <c r="J4" s="5"/>
      <c r="V4" s="5"/>
      <c r="W4" t="s">
        <v>132</v>
      </c>
      <c r="X4" t="s">
        <v>59</v>
      </c>
      <c r="Y4" s="5" t="s">
        <v>63</v>
      </c>
      <c r="Z4" s="24"/>
      <c r="AB4" s="5"/>
    </row>
    <row r="5" spans="1:29" x14ac:dyDescent="0.2">
      <c r="A5" t="s">
        <v>22</v>
      </c>
      <c r="B5" s="8">
        <v>12</v>
      </c>
      <c r="C5" s="9" t="s">
        <v>52</v>
      </c>
      <c r="D5">
        <v>300</v>
      </c>
      <c r="G5" s="5"/>
      <c r="J5" s="5"/>
      <c r="V5" s="5"/>
      <c r="W5" t="s">
        <v>133</v>
      </c>
      <c r="X5" t="s">
        <v>59</v>
      </c>
      <c r="Y5" s="5" t="s">
        <v>63</v>
      </c>
      <c r="Z5" s="24"/>
      <c r="AB5" s="5"/>
    </row>
    <row r="6" spans="1:29" x14ac:dyDescent="0.2">
      <c r="A6" t="s">
        <v>22</v>
      </c>
      <c r="B6" s="8">
        <v>13</v>
      </c>
      <c r="C6" s="9" t="s">
        <v>52</v>
      </c>
      <c r="D6">
        <v>250</v>
      </c>
      <c r="G6" s="5"/>
      <c r="J6" s="5"/>
      <c r="V6" s="5"/>
      <c r="W6" t="s">
        <v>134</v>
      </c>
      <c r="X6" t="s">
        <v>59</v>
      </c>
      <c r="Y6" s="5" t="s">
        <v>63</v>
      </c>
      <c r="Z6" s="24"/>
      <c r="AB6" s="5"/>
    </row>
    <row r="7" spans="1:29" x14ac:dyDescent="0.2">
      <c r="A7" t="s">
        <v>22</v>
      </c>
      <c r="B7" s="8">
        <v>16</v>
      </c>
      <c r="C7" s="9" t="s">
        <v>52</v>
      </c>
      <c r="D7">
        <v>200</v>
      </c>
      <c r="E7" t="s">
        <v>135</v>
      </c>
      <c r="F7" t="s">
        <v>59</v>
      </c>
      <c r="G7" s="5" t="s">
        <v>63</v>
      </c>
      <c r="J7" s="5"/>
      <c r="T7">
        <v>2625</v>
      </c>
      <c r="U7" t="s">
        <v>59</v>
      </c>
      <c r="V7" s="5" t="s">
        <v>63</v>
      </c>
      <c r="W7" t="s">
        <v>153</v>
      </c>
      <c r="X7" t="s">
        <v>59</v>
      </c>
      <c r="Y7" s="5" t="s">
        <v>63</v>
      </c>
      <c r="Z7" s="24"/>
      <c r="AB7" s="5"/>
    </row>
    <row r="8" spans="1:29" x14ac:dyDescent="0.2">
      <c r="A8" t="s">
        <v>22</v>
      </c>
      <c r="B8" s="8">
        <v>18</v>
      </c>
      <c r="C8" s="9" t="s">
        <v>52</v>
      </c>
      <c r="D8">
        <v>100</v>
      </c>
      <c r="E8">
        <v>266</v>
      </c>
      <c r="F8" t="s">
        <v>59</v>
      </c>
      <c r="G8" s="5" t="s">
        <v>63</v>
      </c>
      <c r="J8" s="5"/>
      <c r="T8">
        <v>2626</v>
      </c>
      <c r="U8" t="s">
        <v>59</v>
      </c>
      <c r="V8" s="5" t="s">
        <v>63</v>
      </c>
      <c r="Y8" s="5"/>
      <c r="Z8" s="24"/>
      <c r="AB8" s="5"/>
    </row>
    <row r="9" spans="1:29" x14ac:dyDescent="0.2">
      <c r="A9" t="s">
        <v>22</v>
      </c>
      <c r="B9" s="8">
        <v>20</v>
      </c>
      <c r="C9" s="9" t="s">
        <v>52</v>
      </c>
      <c r="D9">
        <v>50</v>
      </c>
      <c r="E9">
        <v>267</v>
      </c>
      <c r="F9" t="s">
        <v>59</v>
      </c>
      <c r="G9" s="5" t="s">
        <v>63</v>
      </c>
      <c r="J9" s="5"/>
      <c r="T9">
        <v>2627</v>
      </c>
      <c r="U9" t="s">
        <v>59</v>
      </c>
      <c r="V9" s="5" t="s">
        <v>63</v>
      </c>
      <c r="Y9" s="5"/>
      <c r="Z9" s="24"/>
      <c r="AB9" s="5"/>
    </row>
    <row r="10" spans="1:29" x14ac:dyDescent="0.2">
      <c r="A10" t="s">
        <v>22</v>
      </c>
      <c r="B10" s="8">
        <v>22</v>
      </c>
      <c r="C10" s="9" t="s">
        <v>52</v>
      </c>
      <c r="D10">
        <v>30</v>
      </c>
      <c r="E10">
        <v>268</v>
      </c>
      <c r="F10" t="s">
        <v>59</v>
      </c>
      <c r="G10" s="5" t="s">
        <v>63</v>
      </c>
      <c r="J10" s="5"/>
      <c r="T10">
        <v>2628</v>
      </c>
      <c r="U10" t="s">
        <v>59</v>
      </c>
      <c r="V10" s="5" t="s">
        <v>63</v>
      </c>
      <c r="Y10" s="5"/>
      <c r="Z10" s="24"/>
      <c r="AB10" s="5"/>
    </row>
    <row r="11" spans="1:29" x14ac:dyDescent="0.2">
      <c r="A11" t="s">
        <v>22</v>
      </c>
      <c r="B11" s="8">
        <v>24</v>
      </c>
      <c r="C11" s="9" t="s">
        <v>52</v>
      </c>
      <c r="D11">
        <v>10</v>
      </c>
      <c r="E11">
        <v>269</v>
      </c>
      <c r="F11" t="s">
        <v>59</v>
      </c>
      <c r="G11" s="5" t="s">
        <v>63</v>
      </c>
      <c r="J11" s="5"/>
      <c r="T11">
        <v>2629</v>
      </c>
      <c r="U11" t="s">
        <v>59</v>
      </c>
      <c r="V11" s="5" t="s">
        <v>63</v>
      </c>
      <c r="Y11" s="5"/>
      <c r="Z11" s="24"/>
      <c r="AB11" s="5"/>
    </row>
    <row r="12" spans="1:29" x14ac:dyDescent="0.2">
      <c r="A12" t="s">
        <v>106</v>
      </c>
      <c r="B12" s="8">
        <v>2</v>
      </c>
      <c r="C12" s="9" t="s">
        <v>52</v>
      </c>
      <c r="D12">
        <v>220</v>
      </c>
      <c r="G12" s="5"/>
      <c r="J12" s="5"/>
      <c r="T12">
        <v>2633</v>
      </c>
      <c r="U12" t="s">
        <v>59</v>
      </c>
      <c r="V12" s="5" t="s">
        <v>63</v>
      </c>
      <c r="W12" t="s">
        <v>154</v>
      </c>
      <c r="X12" t="s">
        <v>59</v>
      </c>
      <c r="Y12" s="5" t="s">
        <v>63</v>
      </c>
      <c r="Z12" s="24"/>
      <c r="AB12" s="5"/>
    </row>
    <row r="13" spans="1:29" x14ac:dyDescent="0.2">
      <c r="A13" t="s">
        <v>106</v>
      </c>
      <c r="B13" s="8">
        <v>4</v>
      </c>
      <c r="C13" s="9" t="s">
        <v>52</v>
      </c>
      <c r="D13">
        <v>200</v>
      </c>
      <c r="G13" s="5"/>
      <c r="J13" s="5"/>
      <c r="T13">
        <v>2632</v>
      </c>
      <c r="U13" t="s">
        <v>59</v>
      </c>
      <c r="V13" s="5" t="s">
        <v>63</v>
      </c>
      <c r="W13" t="s">
        <v>155</v>
      </c>
      <c r="X13" t="s">
        <v>59</v>
      </c>
      <c r="Y13" s="5" t="s">
        <v>63</v>
      </c>
      <c r="Z13" s="24"/>
      <c r="AB13" s="5"/>
    </row>
    <row r="14" spans="1:29" x14ac:dyDescent="0.2">
      <c r="A14" t="s">
        <v>106</v>
      </c>
      <c r="B14" s="8">
        <v>6</v>
      </c>
      <c r="C14" s="9" t="s">
        <v>52</v>
      </c>
      <c r="D14">
        <v>180</v>
      </c>
      <c r="G14" s="5"/>
      <c r="J14" s="5"/>
      <c r="T14">
        <v>2631</v>
      </c>
      <c r="U14" t="s">
        <v>59</v>
      </c>
      <c r="V14" s="5" t="s">
        <v>63</v>
      </c>
      <c r="W14" t="s">
        <v>156</v>
      </c>
      <c r="X14" t="s">
        <v>59</v>
      </c>
      <c r="Y14" s="5" t="s">
        <v>63</v>
      </c>
      <c r="Z14" s="24"/>
      <c r="AB14" s="5"/>
    </row>
    <row r="15" spans="1:29" x14ac:dyDescent="0.2">
      <c r="A15" t="s">
        <v>106</v>
      </c>
      <c r="B15" s="8">
        <v>8</v>
      </c>
      <c r="C15" s="9" t="s">
        <v>52</v>
      </c>
      <c r="D15">
        <v>160</v>
      </c>
      <c r="G15" s="5"/>
      <c r="J15" s="5"/>
      <c r="T15">
        <v>2630</v>
      </c>
      <c r="U15" t="s">
        <v>59</v>
      </c>
      <c r="V15" s="5" t="s">
        <v>63</v>
      </c>
      <c r="Y15" s="5"/>
      <c r="Z15" s="24"/>
      <c r="AB15" s="5"/>
    </row>
    <row r="16" spans="1:29" x14ac:dyDescent="0.2">
      <c r="A16" t="s">
        <v>106</v>
      </c>
      <c r="B16" s="8">
        <v>12</v>
      </c>
      <c r="C16" s="9" t="s">
        <v>52</v>
      </c>
      <c r="D16">
        <v>120</v>
      </c>
      <c r="E16">
        <v>272</v>
      </c>
      <c r="F16" t="s">
        <v>59</v>
      </c>
      <c r="G16" s="5" t="s">
        <v>64</v>
      </c>
      <c r="J16" s="5"/>
      <c r="T16">
        <v>2635</v>
      </c>
      <c r="U16" t="s">
        <v>59</v>
      </c>
      <c r="V16" s="5" t="s">
        <v>63</v>
      </c>
      <c r="Y16" s="5"/>
      <c r="Z16" s="24"/>
      <c r="AB16" s="5"/>
    </row>
    <row r="17" spans="1:28" x14ac:dyDescent="0.2">
      <c r="A17" t="s">
        <v>106</v>
      </c>
      <c r="B17" s="8">
        <v>12</v>
      </c>
      <c r="C17" s="9" t="s">
        <v>52</v>
      </c>
      <c r="D17">
        <v>120</v>
      </c>
      <c r="E17">
        <v>274</v>
      </c>
      <c r="F17" t="s">
        <v>59</v>
      </c>
      <c r="G17" s="5" t="s">
        <v>64</v>
      </c>
      <c r="J17" s="5"/>
      <c r="V17" s="5"/>
      <c r="Y17" s="5"/>
      <c r="Z17" s="24"/>
      <c r="AB17" s="5"/>
    </row>
    <row r="18" spans="1:28" x14ac:dyDescent="0.2">
      <c r="A18" t="s">
        <v>106</v>
      </c>
      <c r="B18" s="8">
        <v>14</v>
      </c>
      <c r="C18" s="9" t="s">
        <v>52</v>
      </c>
      <c r="D18">
        <v>100</v>
      </c>
      <c r="G18" s="5"/>
      <c r="J18" s="5"/>
      <c r="T18">
        <v>2636</v>
      </c>
      <c r="U18" t="s">
        <v>59</v>
      </c>
      <c r="V18" s="5" t="s">
        <v>63</v>
      </c>
      <c r="W18" t="s">
        <v>157</v>
      </c>
      <c r="X18" t="s">
        <v>59</v>
      </c>
      <c r="Y18" s="5" t="s">
        <v>63</v>
      </c>
      <c r="Z18" s="26">
        <v>1</v>
      </c>
      <c r="AA18" t="s">
        <v>59</v>
      </c>
      <c r="AB18" s="5" t="s">
        <v>63</v>
      </c>
    </row>
    <row r="19" spans="1:28" x14ac:dyDescent="0.2">
      <c r="A19" t="s">
        <v>106</v>
      </c>
      <c r="B19" s="8">
        <v>16</v>
      </c>
      <c r="C19" s="9" t="s">
        <v>52</v>
      </c>
      <c r="D19">
        <v>80</v>
      </c>
      <c r="G19" s="5"/>
      <c r="J19" s="5"/>
      <c r="T19">
        <v>2634</v>
      </c>
      <c r="U19" t="s">
        <v>59</v>
      </c>
      <c r="V19" s="5" t="s">
        <v>63</v>
      </c>
      <c r="Y19" s="5"/>
      <c r="Z19" s="26">
        <v>2</v>
      </c>
      <c r="AA19" t="s">
        <v>59</v>
      </c>
      <c r="AB19" s="5" t="s">
        <v>63</v>
      </c>
    </row>
    <row r="20" spans="1:28" x14ac:dyDescent="0.2">
      <c r="A20" t="s">
        <v>106</v>
      </c>
      <c r="B20" s="8">
        <v>18</v>
      </c>
      <c r="C20" s="9" t="s">
        <v>52</v>
      </c>
      <c r="D20">
        <v>60</v>
      </c>
      <c r="E20">
        <v>271</v>
      </c>
      <c r="F20" t="s">
        <v>59</v>
      </c>
      <c r="G20" s="5" t="s">
        <v>64</v>
      </c>
      <c r="J20" s="5"/>
      <c r="T20">
        <v>2638</v>
      </c>
      <c r="U20" t="s">
        <v>59</v>
      </c>
      <c r="V20" s="5" t="s">
        <v>63</v>
      </c>
      <c r="W20" t="s">
        <v>158</v>
      </c>
      <c r="X20" t="s">
        <v>59</v>
      </c>
      <c r="Y20" s="5" t="s">
        <v>63</v>
      </c>
      <c r="Z20" s="26">
        <v>3</v>
      </c>
      <c r="AA20" t="s">
        <v>59</v>
      </c>
      <c r="AB20" s="5" t="s">
        <v>63</v>
      </c>
    </row>
    <row r="21" spans="1:28" x14ac:dyDescent="0.2">
      <c r="A21" t="s">
        <v>106</v>
      </c>
      <c r="B21" s="8">
        <v>18</v>
      </c>
      <c r="C21" s="9" t="s">
        <v>52</v>
      </c>
      <c r="D21">
        <v>60</v>
      </c>
      <c r="E21">
        <v>275</v>
      </c>
      <c r="F21" t="s">
        <v>59</v>
      </c>
      <c r="G21" s="5" t="s">
        <v>64</v>
      </c>
      <c r="J21" s="5"/>
      <c r="V21" s="5"/>
      <c r="Y21" s="5"/>
      <c r="Z21" s="24"/>
      <c r="AB21" s="5"/>
    </row>
    <row r="22" spans="1:28" x14ac:dyDescent="0.2">
      <c r="A22" t="s">
        <v>106</v>
      </c>
      <c r="B22" s="8">
        <v>20</v>
      </c>
      <c r="C22" s="9" t="s">
        <v>52</v>
      </c>
      <c r="D22">
        <v>40</v>
      </c>
      <c r="G22" s="5"/>
      <c r="J22" s="5"/>
      <c r="V22" s="5"/>
      <c r="Y22" s="5"/>
      <c r="Z22" s="26">
        <v>4</v>
      </c>
      <c r="AA22" t="s">
        <v>59</v>
      </c>
      <c r="AB22" s="5" t="s">
        <v>63</v>
      </c>
    </row>
    <row r="23" spans="1:28" x14ac:dyDescent="0.2">
      <c r="A23" t="s">
        <v>106</v>
      </c>
      <c r="B23" s="8">
        <v>22</v>
      </c>
      <c r="C23" s="9" t="s">
        <v>52</v>
      </c>
      <c r="D23">
        <v>20</v>
      </c>
      <c r="E23">
        <v>273</v>
      </c>
      <c r="F23" t="s">
        <v>59</v>
      </c>
      <c r="G23" s="5" t="s">
        <v>64</v>
      </c>
      <c r="J23" s="5"/>
      <c r="T23">
        <v>2639</v>
      </c>
      <c r="U23" t="s">
        <v>59</v>
      </c>
      <c r="V23" s="5" t="s">
        <v>63</v>
      </c>
      <c r="W23" t="s">
        <v>159</v>
      </c>
      <c r="X23" t="s">
        <v>59</v>
      </c>
      <c r="Y23" s="5" t="s">
        <v>63</v>
      </c>
      <c r="Z23" s="26">
        <v>5</v>
      </c>
      <c r="AA23" t="s">
        <v>59</v>
      </c>
      <c r="AB23" s="5" t="s">
        <v>63</v>
      </c>
    </row>
    <row r="24" spans="1:28" x14ac:dyDescent="0.2">
      <c r="A24" t="s">
        <v>106</v>
      </c>
      <c r="B24" s="8">
        <v>22</v>
      </c>
      <c r="C24" s="9" t="s">
        <v>52</v>
      </c>
      <c r="D24">
        <v>20</v>
      </c>
      <c r="E24">
        <v>276</v>
      </c>
      <c r="F24" t="s">
        <v>59</v>
      </c>
      <c r="G24" s="5" t="s">
        <v>64</v>
      </c>
      <c r="J24" s="5"/>
      <c r="V24" s="5"/>
      <c r="Y24" s="5"/>
      <c r="Z24" s="24"/>
      <c r="AB24" s="5"/>
    </row>
    <row r="25" spans="1:28" x14ac:dyDescent="0.2">
      <c r="A25" t="s">
        <v>106</v>
      </c>
      <c r="B25" s="8">
        <v>24</v>
      </c>
      <c r="C25" s="9" t="s">
        <v>52</v>
      </c>
      <c r="D25">
        <v>10</v>
      </c>
      <c r="G25" s="5"/>
      <c r="J25" s="5"/>
      <c r="T25">
        <v>2640</v>
      </c>
      <c r="U25" t="s">
        <v>59</v>
      </c>
      <c r="V25" s="5" t="s">
        <v>63</v>
      </c>
      <c r="Y25" s="5"/>
      <c r="Z25" s="26">
        <v>6</v>
      </c>
      <c r="AA25" t="s">
        <v>59</v>
      </c>
      <c r="AB25" s="5" t="s">
        <v>63</v>
      </c>
    </row>
    <row r="26" spans="1:28" x14ac:dyDescent="0.2">
      <c r="A26" t="s">
        <v>108</v>
      </c>
      <c r="B26" s="8">
        <v>3</v>
      </c>
      <c r="C26" s="9" t="s">
        <v>52</v>
      </c>
      <c r="D26">
        <v>2600</v>
      </c>
      <c r="E26">
        <v>277</v>
      </c>
      <c r="F26" t="s">
        <v>59</v>
      </c>
      <c r="G26" s="5" t="s">
        <v>63</v>
      </c>
      <c r="J26" s="5"/>
      <c r="V26" s="5"/>
      <c r="W26" t="s">
        <v>160</v>
      </c>
      <c r="X26" t="s">
        <v>59</v>
      </c>
      <c r="Y26" s="5" t="s">
        <v>63</v>
      </c>
      <c r="Z26" s="26">
        <v>7</v>
      </c>
      <c r="AA26" t="s">
        <v>59</v>
      </c>
      <c r="AB26" s="5" t="s">
        <v>63</v>
      </c>
    </row>
    <row r="27" spans="1:28" x14ac:dyDescent="0.2">
      <c r="A27" t="s">
        <v>108</v>
      </c>
      <c r="B27" s="8">
        <v>5</v>
      </c>
      <c r="C27" s="9" t="s">
        <v>52</v>
      </c>
      <c r="D27">
        <v>2400</v>
      </c>
      <c r="E27">
        <v>278</v>
      </c>
      <c r="F27" t="s">
        <v>59</v>
      </c>
      <c r="G27" s="5" t="s">
        <v>63</v>
      </c>
      <c r="J27" s="5"/>
      <c r="T27">
        <v>2637</v>
      </c>
      <c r="U27" t="s">
        <v>59</v>
      </c>
      <c r="V27" s="5" t="s">
        <v>63</v>
      </c>
      <c r="Y27" s="5"/>
      <c r="Z27" s="24"/>
      <c r="AB27" s="5"/>
    </row>
    <row r="28" spans="1:28" x14ac:dyDescent="0.2">
      <c r="A28" t="s">
        <v>108</v>
      </c>
      <c r="B28" s="8">
        <v>6</v>
      </c>
      <c r="C28" s="9" t="s">
        <v>52</v>
      </c>
      <c r="D28">
        <v>2000</v>
      </c>
      <c r="G28" s="5"/>
      <c r="J28" s="5"/>
      <c r="T28">
        <v>2641</v>
      </c>
      <c r="U28" t="s">
        <v>59</v>
      </c>
      <c r="V28" s="5" t="s">
        <v>63</v>
      </c>
      <c r="Y28" s="5"/>
      <c r="Z28" s="24"/>
      <c r="AB28" s="5"/>
    </row>
    <row r="29" spans="1:28" x14ac:dyDescent="0.2">
      <c r="A29" t="s">
        <v>108</v>
      </c>
      <c r="B29" s="8">
        <v>8</v>
      </c>
      <c r="C29" s="9" t="s">
        <v>52</v>
      </c>
      <c r="D29">
        <v>1500</v>
      </c>
      <c r="E29">
        <v>279</v>
      </c>
      <c r="F29" t="s">
        <v>59</v>
      </c>
      <c r="G29" s="5" t="s">
        <v>63</v>
      </c>
      <c r="J29" s="5"/>
      <c r="V29" s="5"/>
      <c r="W29" t="s">
        <v>296</v>
      </c>
      <c r="X29" t="s">
        <v>59</v>
      </c>
      <c r="Y29" s="5" t="s">
        <v>63</v>
      </c>
      <c r="Z29" s="26">
        <v>8</v>
      </c>
      <c r="AA29" t="s">
        <v>59</v>
      </c>
      <c r="AB29" s="5" t="s">
        <v>63</v>
      </c>
    </row>
    <row r="30" spans="1:28" x14ac:dyDescent="0.2">
      <c r="A30" t="s">
        <v>108</v>
      </c>
      <c r="B30" s="8">
        <v>10</v>
      </c>
      <c r="C30" s="9" t="s">
        <v>52</v>
      </c>
      <c r="D30">
        <v>1000</v>
      </c>
      <c r="E30">
        <v>280</v>
      </c>
      <c r="F30" t="s">
        <v>59</v>
      </c>
      <c r="G30" s="5" t="s">
        <v>63</v>
      </c>
      <c r="J30" s="5"/>
      <c r="T30">
        <v>2642</v>
      </c>
      <c r="U30" t="s">
        <v>59</v>
      </c>
      <c r="V30" s="5" t="s">
        <v>63</v>
      </c>
      <c r="Y30" s="5"/>
      <c r="Z30" s="24"/>
      <c r="AB30" s="5"/>
    </row>
    <row r="31" spans="1:28" x14ac:dyDescent="0.2">
      <c r="A31" t="s">
        <v>108</v>
      </c>
      <c r="B31" s="8">
        <v>12</v>
      </c>
      <c r="C31" s="9" t="s">
        <v>52</v>
      </c>
      <c r="D31">
        <v>750</v>
      </c>
      <c r="G31" s="5"/>
      <c r="J31" s="5"/>
      <c r="T31">
        <v>2643</v>
      </c>
      <c r="U31" t="s">
        <v>59</v>
      </c>
      <c r="V31" s="5" t="s">
        <v>63</v>
      </c>
      <c r="W31" t="s">
        <v>161</v>
      </c>
      <c r="X31" t="s">
        <v>59</v>
      </c>
      <c r="Y31" s="5" t="s">
        <v>63</v>
      </c>
      <c r="Z31" s="24"/>
      <c r="AB31" s="5"/>
    </row>
    <row r="32" spans="1:28" x14ac:dyDescent="0.2">
      <c r="A32" t="s">
        <v>108</v>
      </c>
      <c r="B32" s="8">
        <v>13</v>
      </c>
      <c r="C32" s="9" t="s">
        <v>52</v>
      </c>
      <c r="D32">
        <v>500</v>
      </c>
      <c r="E32">
        <v>281</v>
      </c>
      <c r="F32" t="s">
        <v>59</v>
      </c>
      <c r="G32" s="5" t="s">
        <v>63</v>
      </c>
      <c r="J32" s="5"/>
      <c r="V32" s="5"/>
      <c r="Y32" s="5"/>
      <c r="Z32" s="24"/>
      <c r="AB32" s="5"/>
    </row>
    <row r="33" spans="1:29" x14ac:dyDescent="0.2">
      <c r="A33" t="s">
        <v>108</v>
      </c>
      <c r="B33">
        <v>14</v>
      </c>
      <c r="C33" t="s">
        <v>52</v>
      </c>
      <c r="D33">
        <v>500</v>
      </c>
      <c r="G33" s="5"/>
      <c r="J33" s="5"/>
      <c r="T33">
        <v>2644</v>
      </c>
      <c r="U33" t="s">
        <v>59</v>
      </c>
      <c r="V33" s="5" t="s">
        <v>63</v>
      </c>
      <c r="W33" t="s">
        <v>162</v>
      </c>
      <c r="X33" t="s">
        <v>59</v>
      </c>
      <c r="Y33" s="5" t="s">
        <v>63</v>
      </c>
      <c r="Z33" s="24"/>
      <c r="AB33" s="5"/>
    </row>
    <row r="34" spans="1:29" x14ac:dyDescent="0.2">
      <c r="A34" t="s">
        <v>108</v>
      </c>
      <c r="B34" s="8">
        <v>16</v>
      </c>
      <c r="C34" s="9" t="s">
        <v>52</v>
      </c>
      <c r="D34">
        <v>200</v>
      </c>
      <c r="E34">
        <v>282</v>
      </c>
      <c r="F34" s="8" t="s">
        <v>59</v>
      </c>
      <c r="G34" s="5" t="s">
        <v>63</v>
      </c>
      <c r="J34" s="5"/>
      <c r="T34">
        <v>2645</v>
      </c>
      <c r="U34" t="s">
        <v>59</v>
      </c>
      <c r="V34" s="5" t="s">
        <v>63</v>
      </c>
      <c r="Y34" s="5"/>
      <c r="Z34" s="26">
        <v>9</v>
      </c>
      <c r="AA34" t="s">
        <v>59</v>
      </c>
      <c r="AB34" s="5" t="s">
        <v>63</v>
      </c>
    </row>
    <row r="35" spans="1:29" x14ac:dyDescent="0.2">
      <c r="A35" t="s">
        <v>108</v>
      </c>
      <c r="B35" s="8">
        <v>18</v>
      </c>
      <c r="C35" s="9" t="s">
        <v>52</v>
      </c>
      <c r="D35">
        <v>100</v>
      </c>
      <c r="E35">
        <v>283</v>
      </c>
      <c r="F35" t="s">
        <v>152</v>
      </c>
      <c r="G35" s="5" t="s">
        <v>63</v>
      </c>
      <c r="J35" s="5"/>
      <c r="T35">
        <v>2646</v>
      </c>
      <c r="U35" t="s">
        <v>59</v>
      </c>
      <c r="V35" s="5" t="s">
        <v>63</v>
      </c>
      <c r="W35" t="s">
        <v>163</v>
      </c>
      <c r="X35" t="s">
        <v>59</v>
      </c>
      <c r="Y35" s="5" t="s">
        <v>63</v>
      </c>
      <c r="Z35" s="24"/>
      <c r="AB35" s="5"/>
      <c r="AC35" t="s">
        <v>239</v>
      </c>
    </row>
    <row r="36" spans="1:29" x14ac:dyDescent="0.2">
      <c r="A36" t="s">
        <v>108</v>
      </c>
      <c r="B36" s="8">
        <v>20</v>
      </c>
      <c r="C36" s="9" t="s">
        <v>52</v>
      </c>
      <c r="D36">
        <v>75</v>
      </c>
      <c r="G36" s="5"/>
      <c r="J36" s="5"/>
      <c r="T36">
        <v>2647</v>
      </c>
      <c r="U36" t="s">
        <v>59</v>
      </c>
      <c r="V36" s="5" t="s">
        <v>63</v>
      </c>
      <c r="W36" t="s">
        <v>164</v>
      </c>
      <c r="X36" t="s">
        <v>59</v>
      </c>
      <c r="Y36" s="5" t="s">
        <v>63</v>
      </c>
      <c r="Z36" s="26">
        <v>10</v>
      </c>
      <c r="AA36" t="s">
        <v>59</v>
      </c>
      <c r="AB36" s="5" t="s">
        <v>63</v>
      </c>
    </row>
    <row r="37" spans="1:29" x14ac:dyDescent="0.2">
      <c r="A37" t="s">
        <v>108</v>
      </c>
      <c r="B37" s="8">
        <v>22</v>
      </c>
      <c r="C37" s="9" t="s">
        <v>52</v>
      </c>
      <c r="D37">
        <v>50</v>
      </c>
      <c r="E37">
        <v>284</v>
      </c>
      <c r="F37" t="s">
        <v>59</v>
      </c>
      <c r="G37" s="5" t="s">
        <v>63</v>
      </c>
      <c r="J37" s="5"/>
      <c r="T37">
        <v>2648</v>
      </c>
      <c r="U37" t="s">
        <v>59</v>
      </c>
      <c r="V37" s="5" t="s">
        <v>63</v>
      </c>
      <c r="W37" t="s">
        <v>165</v>
      </c>
      <c r="X37" t="s">
        <v>59</v>
      </c>
      <c r="Y37" s="5" t="s">
        <v>63</v>
      </c>
      <c r="Z37" s="26">
        <v>11</v>
      </c>
      <c r="AA37" t="s">
        <v>59</v>
      </c>
      <c r="AB37" s="5" t="s">
        <v>63</v>
      </c>
    </row>
    <row r="38" spans="1:29" x14ac:dyDescent="0.2">
      <c r="A38" t="s">
        <v>108</v>
      </c>
      <c r="B38" s="8">
        <v>24</v>
      </c>
      <c r="C38" s="9" t="s">
        <v>52</v>
      </c>
      <c r="D38">
        <v>10</v>
      </c>
      <c r="G38" s="5"/>
      <c r="J38" s="5"/>
      <c r="T38">
        <v>2649</v>
      </c>
      <c r="U38" t="s">
        <v>59</v>
      </c>
      <c r="V38" s="5" t="s">
        <v>63</v>
      </c>
      <c r="W38" t="s">
        <v>166</v>
      </c>
      <c r="X38" t="s">
        <v>59</v>
      </c>
      <c r="Y38" s="5" t="s">
        <v>63</v>
      </c>
      <c r="Z38" s="26">
        <v>12</v>
      </c>
      <c r="AA38" t="s">
        <v>59</v>
      </c>
      <c r="AB38" s="5" t="s">
        <v>63</v>
      </c>
    </row>
    <row r="39" spans="1:29" x14ac:dyDescent="0.2">
      <c r="A39" t="s">
        <v>110</v>
      </c>
      <c r="B39" s="8">
        <v>2</v>
      </c>
      <c r="C39" s="9" t="s">
        <v>52</v>
      </c>
      <c r="D39">
        <v>220</v>
      </c>
      <c r="G39" s="5"/>
      <c r="J39" s="5"/>
      <c r="T39">
        <v>2650</v>
      </c>
      <c r="U39" t="s">
        <v>59</v>
      </c>
      <c r="V39" s="5" t="s">
        <v>63</v>
      </c>
      <c r="W39" t="s">
        <v>167</v>
      </c>
      <c r="X39" t="s">
        <v>59</v>
      </c>
      <c r="Y39" s="5" t="s">
        <v>63</v>
      </c>
      <c r="Z39" s="24"/>
      <c r="AB39" s="5"/>
    </row>
    <row r="40" spans="1:29" x14ac:dyDescent="0.2">
      <c r="A40" t="s">
        <v>110</v>
      </c>
      <c r="B40" s="8">
        <v>4</v>
      </c>
      <c r="C40" s="9" t="s">
        <v>52</v>
      </c>
      <c r="D40">
        <v>200</v>
      </c>
      <c r="G40" s="5"/>
      <c r="J40" s="5"/>
      <c r="T40">
        <v>2651</v>
      </c>
      <c r="U40" t="s">
        <v>59</v>
      </c>
      <c r="V40" s="5" t="s">
        <v>63</v>
      </c>
      <c r="Y40" s="5"/>
      <c r="Z40" s="24"/>
      <c r="AB40" s="5"/>
    </row>
    <row r="41" spans="1:29" x14ac:dyDescent="0.2">
      <c r="A41" t="s">
        <v>110</v>
      </c>
      <c r="B41" s="8">
        <v>6</v>
      </c>
      <c r="C41" s="9" t="s">
        <v>52</v>
      </c>
      <c r="D41">
        <v>180</v>
      </c>
      <c r="G41" s="5"/>
      <c r="J41" s="5"/>
      <c r="T41">
        <v>2652</v>
      </c>
      <c r="U41" t="s">
        <v>59</v>
      </c>
      <c r="V41" s="5" t="s">
        <v>63</v>
      </c>
      <c r="W41" t="s">
        <v>168</v>
      </c>
      <c r="X41" t="s">
        <v>59</v>
      </c>
      <c r="Y41" s="5" t="s">
        <v>63</v>
      </c>
      <c r="Z41" s="24"/>
      <c r="AB41" s="5"/>
    </row>
    <row r="42" spans="1:29" x14ac:dyDescent="0.2">
      <c r="A42" t="s">
        <v>110</v>
      </c>
      <c r="B42" s="8">
        <v>8</v>
      </c>
      <c r="C42" s="9" t="s">
        <v>52</v>
      </c>
      <c r="D42">
        <v>160</v>
      </c>
      <c r="G42" s="5"/>
      <c r="J42" s="5"/>
      <c r="T42">
        <v>2653</v>
      </c>
      <c r="U42" t="s">
        <v>59</v>
      </c>
      <c r="V42" s="5"/>
      <c r="Y42" s="5"/>
      <c r="Z42" s="24"/>
      <c r="AB42" s="5"/>
    </row>
    <row r="43" spans="1:29" x14ac:dyDescent="0.2">
      <c r="A43" t="s">
        <v>110</v>
      </c>
      <c r="B43" s="8">
        <v>10</v>
      </c>
      <c r="C43" s="9" t="s">
        <v>52</v>
      </c>
      <c r="D43">
        <v>140</v>
      </c>
      <c r="G43" s="5"/>
      <c r="J43" s="5"/>
      <c r="V43" s="5"/>
      <c r="W43" t="s">
        <v>169</v>
      </c>
      <c r="X43" t="s">
        <v>59</v>
      </c>
      <c r="Y43" s="5" t="s">
        <v>63</v>
      </c>
      <c r="Z43" s="24"/>
      <c r="AB43" s="5"/>
    </row>
    <row r="44" spans="1:29" x14ac:dyDescent="0.2">
      <c r="A44" t="s">
        <v>110</v>
      </c>
      <c r="B44" s="8">
        <v>11</v>
      </c>
      <c r="C44" s="9" t="s">
        <v>52</v>
      </c>
      <c r="D44">
        <v>120</v>
      </c>
      <c r="E44" t="s">
        <v>220</v>
      </c>
      <c r="F44" t="s">
        <v>59</v>
      </c>
      <c r="G44" s="5" t="s">
        <v>63</v>
      </c>
      <c r="J44" s="5"/>
      <c r="V44" s="5"/>
      <c r="Y44" s="5"/>
      <c r="Z44" s="24"/>
      <c r="AB44" s="5"/>
    </row>
    <row r="45" spans="1:29" x14ac:dyDescent="0.2">
      <c r="A45" t="s">
        <v>110</v>
      </c>
      <c r="B45" s="8">
        <v>12</v>
      </c>
      <c r="C45" s="9" t="s">
        <v>52</v>
      </c>
      <c r="D45">
        <v>120</v>
      </c>
      <c r="E45">
        <v>285</v>
      </c>
      <c r="F45" t="s">
        <v>59</v>
      </c>
      <c r="G45" s="5" t="s">
        <v>63</v>
      </c>
      <c r="J45" s="5"/>
      <c r="T45">
        <v>2654</v>
      </c>
      <c r="U45" t="s">
        <v>59</v>
      </c>
      <c r="V45" s="5" t="s">
        <v>63</v>
      </c>
      <c r="Y45" s="5"/>
      <c r="Z45" s="24"/>
      <c r="AB45" s="5"/>
    </row>
    <row r="46" spans="1:29" x14ac:dyDescent="0.2">
      <c r="A46" t="s">
        <v>110</v>
      </c>
      <c r="B46" s="8">
        <v>14</v>
      </c>
      <c r="C46" s="9" t="s">
        <v>52</v>
      </c>
      <c r="D46">
        <v>100</v>
      </c>
      <c r="G46" s="5"/>
      <c r="J46" s="5"/>
      <c r="T46">
        <v>2655</v>
      </c>
      <c r="U46" t="s">
        <v>59</v>
      </c>
      <c r="V46" s="5" t="s">
        <v>63</v>
      </c>
      <c r="W46" t="s">
        <v>170</v>
      </c>
      <c r="X46" t="s">
        <v>59</v>
      </c>
      <c r="Y46" s="5" t="s">
        <v>63</v>
      </c>
      <c r="Z46" s="26">
        <v>13</v>
      </c>
      <c r="AA46" t="s">
        <v>59</v>
      </c>
      <c r="AB46" s="5" t="s">
        <v>63</v>
      </c>
    </row>
    <row r="47" spans="1:29" x14ac:dyDescent="0.2">
      <c r="A47" t="s">
        <v>110</v>
      </c>
      <c r="B47" s="8">
        <v>16</v>
      </c>
      <c r="C47" s="9" t="s">
        <v>52</v>
      </c>
      <c r="D47">
        <v>80</v>
      </c>
      <c r="G47" s="5"/>
      <c r="J47" s="5"/>
      <c r="T47">
        <v>2656</v>
      </c>
      <c r="U47" t="s">
        <v>59</v>
      </c>
      <c r="V47" s="5" t="s">
        <v>63</v>
      </c>
      <c r="Y47" s="5"/>
      <c r="Z47" s="26">
        <v>14</v>
      </c>
      <c r="AA47" t="s">
        <v>59</v>
      </c>
      <c r="AB47" s="5" t="s">
        <v>63</v>
      </c>
    </row>
    <row r="48" spans="1:29" x14ac:dyDescent="0.2">
      <c r="A48" t="s">
        <v>110</v>
      </c>
      <c r="B48" s="8">
        <v>17</v>
      </c>
      <c r="C48" s="9" t="s">
        <v>52</v>
      </c>
      <c r="D48">
        <v>60</v>
      </c>
      <c r="E48">
        <v>286</v>
      </c>
      <c r="F48" t="s">
        <v>59</v>
      </c>
      <c r="G48" s="5" t="s">
        <v>63</v>
      </c>
      <c r="J48" s="5"/>
      <c r="V48" s="5"/>
      <c r="Y48" s="5"/>
      <c r="Z48" s="24"/>
      <c r="AB48" s="5"/>
    </row>
    <row r="49" spans="1:29" x14ac:dyDescent="0.2">
      <c r="A49" t="s">
        <v>110</v>
      </c>
      <c r="B49" s="8">
        <v>18</v>
      </c>
      <c r="C49" s="9" t="s">
        <v>52</v>
      </c>
      <c r="D49">
        <v>60</v>
      </c>
      <c r="E49">
        <v>288</v>
      </c>
      <c r="F49" t="s">
        <v>59</v>
      </c>
      <c r="G49" s="5" t="s">
        <v>63</v>
      </c>
      <c r="J49" s="5"/>
      <c r="T49">
        <v>2657</v>
      </c>
      <c r="U49" t="s">
        <v>59</v>
      </c>
      <c r="V49" s="5" t="s">
        <v>63</v>
      </c>
      <c r="W49" t="s">
        <v>171</v>
      </c>
      <c r="X49" t="s">
        <v>59</v>
      </c>
      <c r="Y49" s="5" t="s">
        <v>63</v>
      </c>
      <c r="Z49" s="26">
        <v>15</v>
      </c>
      <c r="AA49" t="s">
        <v>59</v>
      </c>
      <c r="AB49" s="5" t="s">
        <v>63</v>
      </c>
    </row>
    <row r="50" spans="1:29" x14ac:dyDescent="0.2">
      <c r="A50" t="s">
        <v>110</v>
      </c>
      <c r="B50" s="8">
        <v>20</v>
      </c>
      <c r="C50" s="9" t="s">
        <v>52</v>
      </c>
      <c r="D50">
        <v>40</v>
      </c>
      <c r="G50" s="5"/>
      <c r="J50" s="5"/>
      <c r="T50">
        <v>2658</v>
      </c>
      <c r="U50" t="s">
        <v>59</v>
      </c>
      <c r="V50" s="5" t="s">
        <v>63</v>
      </c>
      <c r="Y50" s="5"/>
      <c r="Z50" s="26">
        <v>16</v>
      </c>
      <c r="AA50" t="s">
        <v>59</v>
      </c>
      <c r="AB50" s="5" t="s">
        <v>63</v>
      </c>
    </row>
    <row r="51" spans="1:29" x14ac:dyDescent="0.2">
      <c r="A51" t="s">
        <v>110</v>
      </c>
      <c r="B51" s="8">
        <v>21</v>
      </c>
      <c r="C51" s="9" t="s">
        <v>52</v>
      </c>
      <c r="D51">
        <v>20</v>
      </c>
      <c r="E51">
        <v>287</v>
      </c>
      <c r="F51" s="8" t="s">
        <v>59</v>
      </c>
      <c r="G51" s="5" t="s">
        <v>63</v>
      </c>
      <c r="J51" s="5"/>
      <c r="V51" s="5"/>
      <c r="Y51" s="5"/>
      <c r="Z51" s="24"/>
      <c r="AB51" s="5"/>
    </row>
    <row r="52" spans="1:29" x14ac:dyDescent="0.2">
      <c r="A52" t="s">
        <v>110</v>
      </c>
      <c r="B52" s="8">
        <v>22</v>
      </c>
      <c r="C52" s="9" t="s">
        <v>52</v>
      </c>
      <c r="D52">
        <v>20</v>
      </c>
      <c r="E52">
        <v>121</v>
      </c>
      <c r="F52" t="s">
        <v>59</v>
      </c>
      <c r="G52" s="5" t="s">
        <v>63</v>
      </c>
      <c r="J52" s="5"/>
      <c r="V52" s="5"/>
      <c r="W52" t="s">
        <v>172</v>
      </c>
      <c r="X52" t="s">
        <v>59</v>
      </c>
      <c r="Y52" s="5" t="s">
        <v>63</v>
      </c>
      <c r="Z52" s="26">
        <v>17</v>
      </c>
      <c r="AA52" t="s">
        <v>59</v>
      </c>
      <c r="AB52" s="5" t="s">
        <v>63</v>
      </c>
    </row>
    <row r="53" spans="1:29" x14ac:dyDescent="0.2">
      <c r="A53" t="s">
        <v>110</v>
      </c>
      <c r="B53" s="8">
        <v>23</v>
      </c>
      <c r="C53" s="9" t="s">
        <v>52</v>
      </c>
      <c r="D53">
        <v>10</v>
      </c>
      <c r="G53" s="5"/>
      <c r="J53" s="5"/>
      <c r="T53">
        <v>2659</v>
      </c>
      <c r="U53" t="s">
        <v>59</v>
      </c>
      <c r="V53" s="5" t="s">
        <v>63</v>
      </c>
      <c r="Y53" s="5"/>
      <c r="Z53" s="26">
        <v>18</v>
      </c>
      <c r="AA53" t="s">
        <v>59</v>
      </c>
      <c r="AB53" s="5" t="s">
        <v>63</v>
      </c>
    </row>
    <row r="54" spans="1:29" x14ac:dyDescent="0.2">
      <c r="A54" t="s">
        <v>111</v>
      </c>
      <c r="B54" s="8">
        <v>3</v>
      </c>
      <c r="C54" s="9" t="s">
        <v>52</v>
      </c>
      <c r="D54">
        <v>2600</v>
      </c>
      <c r="E54">
        <v>122</v>
      </c>
      <c r="F54" t="s">
        <v>102</v>
      </c>
      <c r="G54" s="5" t="s">
        <v>63</v>
      </c>
      <c r="J54" s="5"/>
      <c r="V54" s="5"/>
      <c r="W54" t="s">
        <v>173</v>
      </c>
      <c r="X54" t="s">
        <v>59</v>
      </c>
      <c r="Y54" s="5" t="s">
        <v>63</v>
      </c>
      <c r="Z54" s="24"/>
      <c r="AB54" s="5"/>
    </row>
    <row r="55" spans="1:29" x14ac:dyDescent="0.2">
      <c r="A55" t="s">
        <v>111</v>
      </c>
      <c r="B55" s="8">
        <v>5</v>
      </c>
      <c r="C55" s="9" t="s">
        <v>52</v>
      </c>
      <c r="D55">
        <v>2250</v>
      </c>
      <c r="E55">
        <v>123</v>
      </c>
      <c r="F55" t="s">
        <v>59</v>
      </c>
      <c r="G55" s="5" t="s">
        <v>63</v>
      </c>
      <c r="J55" s="5"/>
      <c r="V55" s="5"/>
      <c r="W55" t="s">
        <v>174</v>
      </c>
      <c r="X55" t="s">
        <v>59</v>
      </c>
      <c r="Y55" s="5" t="s">
        <v>63</v>
      </c>
      <c r="Z55" s="24"/>
      <c r="AB55" s="5"/>
    </row>
    <row r="56" spans="1:29" x14ac:dyDescent="0.2">
      <c r="A56" t="s">
        <v>111</v>
      </c>
      <c r="B56" s="8">
        <v>7</v>
      </c>
      <c r="C56" s="9" t="s">
        <v>52</v>
      </c>
      <c r="D56">
        <v>1500</v>
      </c>
      <c r="E56">
        <v>124</v>
      </c>
      <c r="F56" t="s">
        <v>59</v>
      </c>
      <c r="G56" s="5" t="s">
        <v>63</v>
      </c>
      <c r="J56" s="5"/>
      <c r="V56" s="5"/>
      <c r="W56" t="s">
        <v>175</v>
      </c>
      <c r="X56" t="s">
        <v>59</v>
      </c>
      <c r="Y56" s="5" t="s">
        <v>63</v>
      </c>
      <c r="Z56" s="24"/>
      <c r="AB56" s="5"/>
    </row>
    <row r="57" spans="1:29" x14ac:dyDescent="0.2">
      <c r="A57" t="s">
        <v>111</v>
      </c>
      <c r="B57" s="8">
        <v>9</v>
      </c>
      <c r="C57" s="9" t="s">
        <v>52</v>
      </c>
      <c r="D57">
        <v>900</v>
      </c>
      <c r="G57" s="5"/>
      <c r="J57" s="5"/>
      <c r="V57" s="5"/>
      <c r="W57" t="s">
        <v>176</v>
      </c>
      <c r="X57" t="s">
        <v>59</v>
      </c>
      <c r="Y57" s="5" t="s">
        <v>63</v>
      </c>
      <c r="Z57" s="24"/>
      <c r="AB57" s="5"/>
    </row>
    <row r="58" spans="1:29" x14ac:dyDescent="0.2">
      <c r="A58" t="s">
        <v>113</v>
      </c>
      <c r="B58" s="8">
        <v>2</v>
      </c>
      <c r="C58" s="9" t="s">
        <v>52</v>
      </c>
      <c r="D58">
        <v>220</v>
      </c>
      <c r="G58" s="5"/>
      <c r="J58" s="5"/>
      <c r="T58">
        <v>2664</v>
      </c>
      <c r="U58" t="s">
        <v>59</v>
      </c>
      <c r="V58" s="5" t="s">
        <v>63</v>
      </c>
      <c r="W58" t="s">
        <v>177</v>
      </c>
      <c r="X58" t="s">
        <v>59</v>
      </c>
      <c r="Y58" s="5" t="s">
        <v>63</v>
      </c>
      <c r="Z58" s="24"/>
      <c r="AB58" s="5"/>
    </row>
    <row r="59" spans="1:29" x14ac:dyDescent="0.2">
      <c r="A59" t="s">
        <v>113</v>
      </c>
      <c r="B59" s="8">
        <v>4</v>
      </c>
      <c r="C59" s="9" t="s">
        <v>52</v>
      </c>
      <c r="D59">
        <v>200</v>
      </c>
      <c r="G59" s="5"/>
      <c r="J59" s="5"/>
      <c r="T59">
        <v>2661</v>
      </c>
      <c r="U59" t="s">
        <v>59</v>
      </c>
      <c r="V59" s="5" t="s">
        <v>63</v>
      </c>
      <c r="Y59" s="5"/>
      <c r="Z59" s="24"/>
      <c r="AB59" s="5"/>
    </row>
    <row r="60" spans="1:29" x14ac:dyDescent="0.2">
      <c r="A60" t="s">
        <v>113</v>
      </c>
      <c r="B60" s="8">
        <v>6</v>
      </c>
      <c r="C60" s="9" t="s">
        <v>52</v>
      </c>
      <c r="D60">
        <v>180</v>
      </c>
      <c r="G60" s="5"/>
      <c r="J60" s="5"/>
      <c r="T60">
        <v>2670</v>
      </c>
      <c r="U60" t="s">
        <v>59</v>
      </c>
      <c r="V60" s="5" t="s">
        <v>63</v>
      </c>
      <c r="W60" t="s">
        <v>178</v>
      </c>
      <c r="X60" t="s">
        <v>59</v>
      </c>
      <c r="Y60" s="5" t="s">
        <v>63</v>
      </c>
      <c r="Z60" s="24"/>
      <c r="AB60" s="5"/>
    </row>
    <row r="61" spans="1:29" x14ac:dyDescent="0.2">
      <c r="A61" t="s">
        <v>113</v>
      </c>
      <c r="B61" s="8">
        <v>9</v>
      </c>
      <c r="C61" s="9" t="s">
        <v>52</v>
      </c>
      <c r="D61">
        <v>140</v>
      </c>
      <c r="G61" s="5"/>
      <c r="J61" s="5"/>
      <c r="V61" s="5"/>
      <c r="W61" t="s">
        <v>179</v>
      </c>
      <c r="X61" t="s">
        <v>59</v>
      </c>
      <c r="Y61" s="5" t="s">
        <v>63</v>
      </c>
      <c r="Z61" s="24"/>
      <c r="AB61" s="5"/>
    </row>
    <row r="62" spans="1:29" x14ac:dyDescent="0.2">
      <c r="A62" t="s">
        <v>113</v>
      </c>
      <c r="B62" s="8">
        <v>10</v>
      </c>
      <c r="C62" s="9" t="s">
        <v>23</v>
      </c>
      <c r="D62">
        <v>140</v>
      </c>
      <c r="G62" s="5"/>
      <c r="J62" s="5"/>
      <c r="T62">
        <v>2663</v>
      </c>
      <c r="U62" t="s">
        <v>59</v>
      </c>
      <c r="V62" s="5" t="s">
        <v>63</v>
      </c>
      <c r="Y62" s="5"/>
      <c r="Z62" s="24"/>
      <c r="AB62" s="5"/>
      <c r="AC62" t="s">
        <v>257</v>
      </c>
    </row>
    <row r="63" spans="1:29" x14ac:dyDescent="0.2">
      <c r="A63" t="s">
        <v>113</v>
      </c>
      <c r="B63" s="8">
        <v>11</v>
      </c>
      <c r="C63" s="9" t="s">
        <v>52</v>
      </c>
      <c r="D63">
        <v>120</v>
      </c>
      <c r="E63">
        <v>125</v>
      </c>
      <c r="F63" t="s">
        <v>59</v>
      </c>
      <c r="G63" s="5" t="s">
        <v>63</v>
      </c>
      <c r="J63" s="5"/>
      <c r="V63" s="5"/>
      <c r="Y63" s="5"/>
      <c r="Z63" s="24"/>
      <c r="AB63" s="5"/>
    </row>
    <row r="64" spans="1:29" x14ac:dyDescent="0.2">
      <c r="A64" t="s">
        <v>113</v>
      </c>
      <c r="B64" s="8">
        <v>12</v>
      </c>
      <c r="C64" s="9" t="s">
        <v>52</v>
      </c>
      <c r="D64">
        <v>120</v>
      </c>
      <c r="E64">
        <v>126</v>
      </c>
      <c r="F64" t="s">
        <v>59</v>
      </c>
      <c r="G64" s="5" t="s">
        <v>63</v>
      </c>
      <c r="J64" s="5"/>
      <c r="T64">
        <v>2660</v>
      </c>
      <c r="U64" t="s">
        <v>59</v>
      </c>
      <c r="V64" s="5" t="s">
        <v>63</v>
      </c>
      <c r="Y64" s="5"/>
      <c r="Z64" s="24"/>
      <c r="AB64" s="5"/>
    </row>
    <row r="65" spans="1:29" x14ac:dyDescent="0.2">
      <c r="A65" t="s">
        <v>113</v>
      </c>
      <c r="B65" s="8">
        <v>14</v>
      </c>
      <c r="C65" s="9" t="s">
        <v>52</v>
      </c>
      <c r="D65">
        <v>100</v>
      </c>
      <c r="G65" s="5"/>
      <c r="J65" s="5"/>
      <c r="T65">
        <v>2669</v>
      </c>
      <c r="U65" t="s">
        <v>59</v>
      </c>
      <c r="V65" s="5" t="s">
        <v>63</v>
      </c>
      <c r="W65" t="s">
        <v>180</v>
      </c>
      <c r="X65" t="s">
        <v>59</v>
      </c>
      <c r="Y65" s="5" t="s">
        <v>63</v>
      </c>
      <c r="Z65" s="26">
        <v>20</v>
      </c>
      <c r="AA65" t="s">
        <v>59</v>
      </c>
      <c r="AB65" s="5" t="s">
        <v>63</v>
      </c>
    </row>
    <row r="66" spans="1:29" x14ac:dyDescent="0.2">
      <c r="A66" t="s">
        <v>113</v>
      </c>
      <c r="B66" s="8">
        <v>16</v>
      </c>
      <c r="C66" s="9" t="s">
        <v>52</v>
      </c>
      <c r="D66">
        <v>80</v>
      </c>
      <c r="G66" s="5"/>
      <c r="J66" s="5"/>
      <c r="V66" s="5"/>
      <c r="Y66" s="5"/>
      <c r="Z66" s="26">
        <v>21</v>
      </c>
      <c r="AA66" t="s">
        <v>59</v>
      </c>
      <c r="AB66" s="5" t="s">
        <v>63</v>
      </c>
    </row>
    <row r="67" spans="1:29" x14ac:dyDescent="0.2">
      <c r="A67" t="s">
        <v>113</v>
      </c>
      <c r="B67" s="8">
        <v>17</v>
      </c>
      <c r="C67" s="9" t="s">
        <v>52</v>
      </c>
      <c r="D67">
        <v>60</v>
      </c>
      <c r="E67">
        <v>127</v>
      </c>
      <c r="F67" t="s">
        <v>59</v>
      </c>
      <c r="G67" s="5" t="s">
        <v>63</v>
      </c>
      <c r="J67" s="5"/>
      <c r="V67" s="5"/>
      <c r="Y67" s="5"/>
      <c r="Z67" s="24"/>
      <c r="AB67" s="5"/>
    </row>
    <row r="68" spans="1:29" x14ac:dyDescent="0.2">
      <c r="A68" t="s">
        <v>113</v>
      </c>
      <c r="B68" s="8">
        <v>18</v>
      </c>
      <c r="C68" s="9" t="s">
        <v>52</v>
      </c>
      <c r="D68">
        <v>60</v>
      </c>
      <c r="E68">
        <v>128</v>
      </c>
      <c r="F68" t="s">
        <v>59</v>
      </c>
      <c r="G68" s="5" t="s">
        <v>63</v>
      </c>
      <c r="J68" s="5"/>
      <c r="T68">
        <v>2662</v>
      </c>
      <c r="U68" t="s">
        <v>59</v>
      </c>
      <c r="V68" s="5" t="s">
        <v>63</v>
      </c>
      <c r="W68" t="s">
        <v>181</v>
      </c>
      <c r="X68" t="s">
        <v>59</v>
      </c>
      <c r="Y68" s="5" t="s">
        <v>63</v>
      </c>
      <c r="Z68" s="26">
        <v>22</v>
      </c>
      <c r="AA68" t="s">
        <v>59</v>
      </c>
      <c r="AB68" s="5" t="s">
        <v>63</v>
      </c>
    </row>
    <row r="69" spans="1:29" x14ac:dyDescent="0.2">
      <c r="A69" t="s">
        <v>113</v>
      </c>
      <c r="B69" s="8">
        <v>20</v>
      </c>
      <c r="C69" s="9" t="s">
        <v>52</v>
      </c>
      <c r="D69">
        <v>40</v>
      </c>
      <c r="G69" s="5"/>
      <c r="J69" s="5"/>
      <c r="T69">
        <v>2672</v>
      </c>
      <c r="U69" t="s">
        <v>59</v>
      </c>
      <c r="V69" s="5" t="s">
        <v>63</v>
      </c>
      <c r="Y69" s="5"/>
      <c r="Z69" s="26">
        <v>23</v>
      </c>
      <c r="AA69" t="s">
        <v>59</v>
      </c>
      <c r="AB69" s="5" t="s">
        <v>63</v>
      </c>
    </row>
    <row r="70" spans="1:29" x14ac:dyDescent="0.2">
      <c r="A70" t="s">
        <v>113</v>
      </c>
      <c r="B70" s="8">
        <v>21</v>
      </c>
      <c r="C70" s="9" t="s">
        <v>52</v>
      </c>
      <c r="D70">
        <v>20</v>
      </c>
      <c r="E70">
        <v>129</v>
      </c>
      <c r="F70" t="s">
        <v>59</v>
      </c>
      <c r="G70" s="5" t="s">
        <v>63</v>
      </c>
      <c r="J70" s="5"/>
      <c r="V70" s="5"/>
      <c r="Y70" s="5"/>
      <c r="Z70" s="24"/>
      <c r="AB70" s="5"/>
    </row>
    <row r="71" spans="1:29" x14ac:dyDescent="0.2">
      <c r="A71" t="s">
        <v>113</v>
      </c>
      <c r="B71" s="8">
        <v>22</v>
      </c>
      <c r="C71" s="9" t="s">
        <v>52</v>
      </c>
      <c r="D71">
        <v>20</v>
      </c>
      <c r="E71">
        <v>130</v>
      </c>
      <c r="F71" t="s">
        <v>59</v>
      </c>
      <c r="G71" s="5" t="s">
        <v>63</v>
      </c>
      <c r="J71" s="5"/>
      <c r="T71">
        <v>2671</v>
      </c>
      <c r="U71" t="s">
        <v>59</v>
      </c>
      <c r="V71" s="5" t="s">
        <v>63</v>
      </c>
      <c r="W71" t="s">
        <v>182</v>
      </c>
      <c r="X71" t="s">
        <v>59</v>
      </c>
      <c r="Y71" s="5" t="s">
        <v>63</v>
      </c>
      <c r="Z71" s="26">
        <v>24</v>
      </c>
      <c r="AA71" t="s">
        <v>59</v>
      </c>
      <c r="AB71" s="5" t="s">
        <v>63</v>
      </c>
    </row>
    <row r="72" spans="1:29" x14ac:dyDescent="0.2">
      <c r="A72" t="s">
        <v>113</v>
      </c>
      <c r="B72" s="8">
        <v>24</v>
      </c>
      <c r="C72" s="9" t="s">
        <v>52</v>
      </c>
      <c r="D72">
        <v>10</v>
      </c>
      <c r="G72" s="5"/>
      <c r="J72" s="5"/>
      <c r="T72">
        <v>2668</v>
      </c>
      <c r="U72" t="s">
        <v>59</v>
      </c>
      <c r="V72" s="5" t="s">
        <v>63</v>
      </c>
      <c r="Y72" s="5"/>
      <c r="Z72" s="26">
        <v>25</v>
      </c>
      <c r="AA72" t="s">
        <v>59</v>
      </c>
      <c r="AB72" s="5" t="s">
        <v>63</v>
      </c>
    </row>
    <row r="73" spans="1:29" x14ac:dyDescent="0.2">
      <c r="A73" t="s">
        <v>114</v>
      </c>
      <c r="B73" s="8">
        <v>2</v>
      </c>
      <c r="C73" s="9" t="s">
        <v>52</v>
      </c>
      <c r="D73">
        <v>575</v>
      </c>
      <c r="E73">
        <v>131</v>
      </c>
      <c r="F73" t="s">
        <v>344</v>
      </c>
      <c r="G73" s="5" t="s">
        <v>63</v>
      </c>
      <c r="J73" s="5"/>
      <c r="T73">
        <v>2667</v>
      </c>
      <c r="U73" t="s">
        <v>59</v>
      </c>
      <c r="V73" s="5" t="s">
        <v>63</v>
      </c>
      <c r="W73" t="s">
        <v>183</v>
      </c>
      <c r="X73" t="s">
        <v>59</v>
      </c>
      <c r="Y73" s="5" t="s">
        <v>63</v>
      </c>
      <c r="Z73" s="26">
        <v>26</v>
      </c>
      <c r="AA73" t="s">
        <v>59</v>
      </c>
      <c r="AB73" s="5" t="s">
        <v>63</v>
      </c>
      <c r="AC73" t="s">
        <v>343</v>
      </c>
    </row>
    <row r="74" spans="1:29" x14ac:dyDescent="0.2">
      <c r="A74" t="s">
        <v>114</v>
      </c>
      <c r="B74" s="8">
        <v>4</v>
      </c>
      <c r="C74" s="9" t="s">
        <v>52</v>
      </c>
      <c r="D74">
        <v>550</v>
      </c>
      <c r="G74" s="5"/>
      <c r="J74" s="5"/>
      <c r="T74">
        <v>2666</v>
      </c>
      <c r="U74" t="s">
        <v>59</v>
      </c>
      <c r="V74" s="5" t="s">
        <v>63</v>
      </c>
      <c r="W74" t="s">
        <v>184</v>
      </c>
      <c r="X74" t="s">
        <v>59</v>
      </c>
      <c r="Y74" s="5" t="s">
        <v>63</v>
      </c>
      <c r="Z74" s="24"/>
      <c r="AB74" s="5"/>
    </row>
    <row r="75" spans="1:29" x14ac:dyDescent="0.2">
      <c r="A75" t="s">
        <v>114</v>
      </c>
      <c r="B75" s="8">
        <v>6</v>
      </c>
      <c r="C75" s="9" t="s">
        <v>52</v>
      </c>
      <c r="D75">
        <v>500</v>
      </c>
      <c r="E75" t="s">
        <v>219</v>
      </c>
      <c r="F75" t="s">
        <v>59</v>
      </c>
      <c r="G75" s="5" t="s">
        <v>63</v>
      </c>
      <c r="J75" s="5"/>
      <c r="T75">
        <v>2665</v>
      </c>
      <c r="U75" t="s">
        <v>59</v>
      </c>
      <c r="V75" s="5" t="s">
        <v>63</v>
      </c>
      <c r="W75" t="s">
        <v>185</v>
      </c>
      <c r="X75" t="s">
        <v>59</v>
      </c>
      <c r="Y75" s="5" t="s">
        <v>63</v>
      </c>
      <c r="Z75" s="26">
        <v>27</v>
      </c>
      <c r="AA75" t="s">
        <v>59</v>
      </c>
      <c r="AB75" s="5" t="s">
        <v>63</v>
      </c>
    </row>
    <row r="76" spans="1:29" x14ac:dyDescent="0.2">
      <c r="A76" t="s">
        <v>114</v>
      </c>
      <c r="B76" s="8">
        <v>8</v>
      </c>
      <c r="C76" s="9" t="s">
        <v>52</v>
      </c>
      <c r="D76">
        <v>400</v>
      </c>
      <c r="G76" s="5"/>
      <c r="J76" s="5"/>
      <c r="V76" s="5"/>
      <c r="Y76" s="5"/>
      <c r="Z76" s="26">
        <v>28</v>
      </c>
      <c r="AA76" t="s">
        <v>59</v>
      </c>
      <c r="AB76" s="5" t="s">
        <v>63</v>
      </c>
    </row>
    <row r="77" spans="1:29" x14ac:dyDescent="0.2">
      <c r="A77" t="s">
        <v>114</v>
      </c>
      <c r="B77" s="8">
        <v>10</v>
      </c>
      <c r="C77" s="9" t="s">
        <v>52</v>
      </c>
      <c r="D77">
        <v>350</v>
      </c>
      <c r="E77">
        <v>133</v>
      </c>
      <c r="F77" t="s">
        <v>59</v>
      </c>
      <c r="G77" s="5" t="s">
        <v>63</v>
      </c>
      <c r="J77" s="5"/>
      <c r="T77">
        <v>2680</v>
      </c>
      <c r="U77" t="s">
        <v>59</v>
      </c>
      <c r="V77" s="5" t="s">
        <v>63</v>
      </c>
      <c r="W77" t="s">
        <v>186</v>
      </c>
      <c r="X77" t="s">
        <v>59</v>
      </c>
      <c r="Y77" s="5" t="s">
        <v>63</v>
      </c>
      <c r="Z77" s="26">
        <v>29</v>
      </c>
      <c r="AA77" t="s">
        <v>59</v>
      </c>
      <c r="AB77" s="5" t="s">
        <v>63</v>
      </c>
    </row>
    <row r="78" spans="1:29" x14ac:dyDescent="0.2">
      <c r="A78" t="s">
        <v>129</v>
      </c>
      <c r="B78" s="8" t="s">
        <v>272</v>
      </c>
      <c r="C78" s="9" t="s">
        <v>52</v>
      </c>
      <c r="D78">
        <v>1523</v>
      </c>
      <c r="G78" s="5"/>
      <c r="J78" s="5"/>
      <c r="T78" t="s">
        <v>259</v>
      </c>
      <c r="U78" t="s">
        <v>59</v>
      </c>
      <c r="V78" s="5" t="s">
        <v>63</v>
      </c>
      <c r="Y78" s="5"/>
      <c r="Z78" s="26"/>
      <c r="AB78" s="5"/>
    </row>
    <row r="79" spans="1:29" x14ac:dyDescent="0.2">
      <c r="A79" t="s">
        <v>116</v>
      </c>
      <c r="B79" s="8" t="s">
        <v>117</v>
      </c>
      <c r="C79" s="9" t="s">
        <v>52</v>
      </c>
      <c r="D79">
        <v>5.9</v>
      </c>
      <c r="E79">
        <v>138</v>
      </c>
      <c r="F79" t="s">
        <v>59</v>
      </c>
      <c r="G79" s="5" t="s">
        <v>64</v>
      </c>
      <c r="J79" s="5"/>
      <c r="V79" s="5"/>
      <c r="W79" t="s">
        <v>187</v>
      </c>
      <c r="X79" t="s">
        <v>59</v>
      </c>
      <c r="Y79" s="5" t="s">
        <v>63</v>
      </c>
      <c r="Z79" s="26">
        <v>30</v>
      </c>
      <c r="AA79" t="s">
        <v>59</v>
      </c>
      <c r="AB79" s="5" t="s">
        <v>63</v>
      </c>
    </row>
    <row r="80" spans="1:29" x14ac:dyDescent="0.2">
      <c r="A80" t="s">
        <v>116</v>
      </c>
      <c r="B80" s="8" t="s">
        <v>117</v>
      </c>
      <c r="C80" s="9" t="s">
        <v>52</v>
      </c>
      <c r="D80">
        <v>5.9</v>
      </c>
      <c r="E80">
        <v>136</v>
      </c>
      <c r="F80" t="s">
        <v>59</v>
      </c>
      <c r="G80" s="5" t="s">
        <v>64</v>
      </c>
      <c r="J80" s="5"/>
      <c r="V80" s="5"/>
      <c r="Y80" s="5"/>
      <c r="Z80" s="24"/>
      <c r="AB80" s="5"/>
    </row>
    <row r="81" spans="1:29" x14ac:dyDescent="0.2">
      <c r="A81" t="s">
        <v>116</v>
      </c>
      <c r="B81" s="8" t="s">
        <v>118</v>
      </c>
      <c r="C81" s="9" t="s">
        <v>151</v>
      </c>
      <c r="D81">
        <v>81</v>
      </c>
      <c r="E81">
        <v>137</v>
      </c>
      <c r="F81" t="s">
        <v>59</v>
      </c>
      <c r="G81" s="5" t="s">
        <v>64</v>
      </c>
      <c r="J81" s="5"/>
      <c r="V81" s="5"/>
      <c r="W81" t="s">
        <v>188</v>
      </c>
      <c r="X81" t="s">
        <v>59</v>
      </c>
      <c r="Y81" s="5" t="s">
        <v>63</v>
      </c>
      <c r="Z81" s="26">
        <v>31</v>
      </c>
      <c r="AA81" t="s">
        <v>59</v>
      </c>
      <c r="AB81" s="5" t="s">
        <v>63</v>
      </c>
      <c r="AC81" t="s">
        <v>258</v>
      </c>
    </row>
    <row r="82" spans="1:29" x14ac:dyDescent="0.2">
      <c r="A82" t="s">
        <v>116</v>
      </c>
      <c r="B82" s="8" t="s">
        <v>118</v>
      </c>
      <c r="C82" s="9" t="s">
        <v>151</v>
      </c>
      <c r="D82">
        <v>81</v>
      </c>
      <c r="E82">
        <v>135</v>
      </c>
      <c r="F82" t="s">
        <v>59</v>
      </c>
      <c r="G82" s="5" t="s">
        <v>64</v>
      </c>
      <c r="J82" s="5"/>
      <c r="V82" s="5"/>
      <c r="Y82" s="5"/>
      <c r="Z82" s="24"/>
      <c r="AB82" s="5"/>
    </row>
    <row r="83" spans="1:29" x14ac:dyDescent="0.2">
      <c r="B83" s="8"/>
      <c r="C83" s="9"/>
      <c r="G83" s="5"/>
      <c r="J83" s="5"/>
      <c r="V83" s="5"/>
      <c r="Y83" s="5"/>
      <c r="Z83" s="24"/>
      <c r="AB83" s="5"/>
    </row>
    <row r="84" spans="1:29" x14ac:dyDescent="0.2">
      <c r="B84" s="8"/>
      <c r="C84" s="9"/>
      <c r="G84" s="5"/>
      <c r="J84" s="5"/>
      <c r="V84" s="5"/>
      <c r="Y84" s="5"/>
      <c r="Z84" s="24"/>
      <c r="AB84" s="5"/>
    </row>
    <row r="85" spans="1:29" x14ac:dyDescent="0.2">
      <c r="B85" s="8"/>
      <c r="C85" s="9"/>
      <c r="G85" s="5"/>
      <c r="J85" s="5"/>
      <c r="V85" s="5"/>
      <c r="Y85" s="5"/>
      <c r="Z85" s="24"/>
      <c r="AB85" s="5"/>
    </row>
    <row r="86" spans="1:29" x14ac:dyDescent="0.2">
      <c r="B86" s="8"/>
      <c r="C86" s="9"/>
      <c r="G86" s="5"/>
      <c r="J86" s="5"/>
      <c r="V86" s="5"/>
      <c r="Y86" s="5"/>
      <c r="Z86" s="24"/>
      <c r="AB86" s="5"/>
    </row>
    <row r="87" spans="1:29" x14ac:dyDescent="0.2">
      <c r="B87" s="8"/>
      <c r="C87" s="9"/>
      <c r="G87" s="5"/>
      <c r="J87" s="5"/>
      <c r="V87" s="5"/>
      <c r="Y87" s="5"/>
      <c r="Z87" s="24"/>
      <c r="AB87" s="5"/>
    </row>
    <row r="88" spans="1:29" x14ac:dyDescent="0.2">
      <c r="B88" s="8"/>
      <c r="C88" s="9"/>
      <c r="G88" s="5"/>
      <c r="J88" s="5"/>
      <c r="V88" s="5"/>
      <c r="Y88" s="5"/>
      <c r="Z88" s="24"/>
      <c r="AB88" s="5"/>
    </row>
    <row r="89" spans="1:29" x14ac:dyDescent="0.2">
      <c r="B89" s="8"/>
      <c r="C89" s="9"/>
      <c r="G89" s="5"/>
      <c r="J89" s="5"/>
      <c r="V89" s="5"/>
      <c r="Y89" s="5"/>
      <c r="Z89" s="24"/>
      <c r="AB89" s="5"/>
    </row>
    <row r="90" spans="1:29" x14ac:dyDescent="0.2">
      <c r="B90" s="8"/>
      <c r="C90" s="9"/>
      <c r="G90" s="5"/>
      <c r="J90" s="5"/>
      <c r="V90" s="5"/>
      <c r="Y90" s="5"/>
      <c r="Z90" s="24"/>
      <c r="AB90" s="5"/>
    </row>
    <row r="91" spans="1:29" x14ac:dyDescent="0.2">
      <c r="B91" s="8"/>
      <c r="C91" s="9"/>
      <c r="G91" s="5"/>
      <c r="J91" s="5"/>
      <c r="V91" s="5"/>
      <c r="Y91" s="5"/>
      <c r="Z91" s="24"/>
      <c r="AB91" s="5"/>
    </row>
    <row r="92" spans="1:29" x14ac:dyDescent="0.2">
      <c r="B92" s="8"/>
      <c r="C92" s="9"/>
      <c r="G92" s="5"/>
      <c r="J92" s="5"/>
      <c r="V92" s="5"/>
      <c r="Y92" s="5"/>
      <c r="Z92" s="24"/>
      <c r="AB92" s="5"/>
    </row>
    <row r="93" spans="1:29" x14ac:dyDescent="0.2">
      <c r="B93" s="8"/>
      <c r="C93" s="9"/>
      <c r="G93" s="5"/>
      <c r="J93" s="5"/>
      <c r="V93" s="5"/>
      <c r="Y93" s="5"/>
      <c r="Z93" s="24"/>
      <c r="AB93" s="5"/>
    </row>
    <row r="94" spans="1:29" x14ac:dyDescent="0.2">
      <c r="B94" s="8"/>
      <c r="C94" s="9"/>
      <c r="G94" s="5"/>
      <c r="J94" s="5"/>
      <c r="V94" s="5"/>
      <c r="Y94" s="5"/>
      <c r="Z94" s="24"/>
      <c r="AB94" s="5"/>
    </row>
    <row r="95" spans="1:29" x14ac:dyDescent="0.2">
      <c r="B95" s="8"/>
      <c r="C95" s="9"/>
      <c r="G95" s="5"/>
      <c r="J95" s="5"/>
      <c r="V95" s="5"/>
      <c r="Y95" s="5"/>
      <c r="Z95" s="24"/>
      <c r="AB95" s="5"/>
    </row>
    <row r="96" spans="1:29" x14ac:dyDescent="0.2">
      <c r="B96" s="8"/>
      <c r="C96" s="9"/>
      <c r="G96" s="5"/>
      <c r="J96" s="5"/>
      <c r="V96" s="5"/>
      <c r="Y96" s="5"/>
      <c r="Z96" s="24"/>
      <c r="AB96" s="5"/>
    </row>
    <row r="97" spans="2:28" x14ac:dyDescent="0.2">
      <c r="B97" s="8"/>
      <c r="C97" s="9"/>
      <c r="G97" s="5"/>
      <c r="J97" s="5"/>
      <c r="V97" s="5"/>
      <c r="Y97" s="5"/>
      <c r="Z97" s="24"/>
      <c r="AB97" s="5"/>
    </row>
    <row r="98" spans="2:28" x14ac:dyDescent="0.2">
      <c r="B98" s="8"/>
      <c r="C98" s="9"/>
      <c r="G98" s="5"/>
      <c r="J98" s="5"/>
      <c r="V98" s="5"/>
      <c r="Y98" s="5"/>
      <c r="Z98" s="24"/>
      <c r="AB98" s="5"/>
    </row>
    <row r="99" spans="2:28" x14ac:dyDescent="0.2">
      <c r="B99" s="8"/>
      <c r="C99" s="9"/>
      <c r="G99" s="5"/>
      <c r="J99" s="5"/>
      <c r="V99" s="5"/>
      <c r="Y99" s="5"/>
      <c r="Z99" s="24"/>
      <c r="AB99" s="5"/>
    </row>
    <row r="100" spans="2:28" x14ac:dyDescent="0.2">
      <c r="B100" s="8"/>
      <c r="C100" s="9"/>
      <c r="G100" s="5"/>
      <c r="J100" s="5"/>
      <c r="V100" s="5"/>
      <c r="Y100" s="5"/>
      <c r="Z100" s="24"/>
      <c r="AB100" s="5"/>
    </row>
    <row r="101" spans="2:28" x14ac:dyDescent="0.2">
      <c r="B101" s="8"/>
      <c r="C101" s="9"/>
      <c r="G101" s="5"/>
      <c r="J101" s="5"/>
      <c r="V101" s="5"/>
      <c r="Y101" s="5"/>
      <c r="Z101" s="24"/>
      <c r="AB101" s="5"/>
    </row>
    <row r="102" spans="2:28" x14ac:dyDescent="0.2">
      <c r="B102" s="8"/>
      <c r="C102" s="9"/>
      <c r="G102" s="5"/>
      <c r="J102" s="5"/>
      <c r="V102" s="5"/>
      <c r="Y102" s="5"/>
      <c r="Z102" s="24"/>
      <c r="AB102" s="5"/>
    </row>
    <row r="103" spans="2:28" x14ac:dyDescent="0.2">
      <c r="B103" s="8"/>
      <c r="C103" s="9"/>
      <c r="G103" s="5"/>
      <c r="J103" s="5"/>
      <c r="V103" s="5"/>
      <c r="Y103" s="5"/>
      <c r="Z103" s="24"/>
      <c r="AB103" s="5"/>
    </row>
    <row r="104" spans="2:28" x14ac:dyDescent="0.2">
      <c r="B104" s="8"/>
      <c r="C104" s="9"/>
      <c r="G104" s="5"/>
      <c r="J104" s="5"/>
      <c r="V104" s="5"/>
      <c r="Y104" s="5"/>
      <c r="Z104" s="24"/>
      <c r="AB104" s="5"/>
    </row>
    <row r="105" spans="2:28" x14ac:dyDescent="0.2">
      <c r="B105" s="8"/>
      <c r="C105" s="9"/>
      <c r="G105" s="5"/>
      <c r="J105" s="5"/>
      <c r="V105" s="5"/>
      <c r="Y105" s="5"/>
      <c r="Z105" s="24"/>
      <c r="AB105" s="5"/>
    </row>
    <row r="106" spans="2:28" x14ac:dyDescent="0.2">
      <c r="B106" s="8"/>
      <c r="C106" s="9"/>
      <c r="G106" s="5"/>
      <c r="J106" s="5"/>
      <c r="V106" s="5"/>
      <c r="Y106" s="5"/>
      <c r="Z106" s="24"/>
      <c r="AB106" s="5"/>
    </row>
    <row r="107" spans="2:28" x14ac:dyDescent="0.2">
      <c r="B107" s="8"/>
      <c r="C107" s="9"/>
      <c r="G107" s="5"/>
      <c r="J107" s="5"/>
      <c r="V107" s="5"/>
      <c r="Y107" s="5"/>
      <c r="Z107" s="24"/>
      <c r="AB107" s="5"/>
    </row>
    <row r="108" spans="2:28" x14ac:dyDescent="0.2">
      <c r="B108" s="8"/>
      <c r="C108" s="9"/>
      <c r="G108" s="5"/>
      <c r="J108" s="5"/>
      <c r="V108" s="5"/>
      <c r="Y108" s="5"/>
      <c r="Z108" s="24"/>
      <c r="AB108" s="5"/>
    </row>
    <row r="109" spans="2:28" x14ac:dyDescent="0.2">
      <c r="B109" s="8"/>
      <c r="C109" s="9"/>
      <c r="G109" s="5"/>
      <c r="J109" s="5"/>
      <c r="V109" s="5"/>
      <c r="Y109" s="5"/>
      <c r="Z109" s="24"/>
      <c r="AB109" s="5"/>
    </row>
    <row r="110" spans="2:28" x14ac:dyDescent="0.2">
      <c r="B110" s="8"/>
      <c r="C110" s="9"/>
      <c r="G110" s="5"/>
      <c r="J110" s="5"/>
      <c r="V110" s="5"/>
      <c r="Y110" s="5"/>
      <c r="Z110" s="24"/>
      <c r="AB110" s="5"/>
    </row>
    <row r="111" spans="2:28" x14ac:dyDescent="0.2">
      <c r="B111" s="8"/>
      <c r="C111" s="9"/>
      <c r="G111" s="5"/>
      <c r="J111" s="5"/>
      <c r="V111" s="5"/>
      <c r="Y111" s="5"/>
      <c r="Z111" s="24"/>
      <c r="AB111" s="5"/>
    </row>
    <row r="112" spans="2:28" x14ac:dyDescent="0.2">
      <c r="B112" s="8"/>
      <c r="C112" s="9"/>
      <c r="G112" s="5"/>
      <c r="J112" s="5"/>
      <c r="V112" s="5"/>
      <c r="Y112" s="5"/>
      <c r="Z112" s="24"/>
      <c r="AB112" s="5"/>
    </row>
    <row r="113" spans="2:28" x14ac:dyDescent="0.2">
      <c r="B113" s="8"/>
      <c r="C113" s="9"/>
      <c r="G113" s="5"/>
      <c r="J113" s="5"/>
      <c r="V113" s="5"/>
      <c r="Y113" s="5"/>
      <c r="Z113" s="24"/>
      <c r="AB113" s="5"/>
    </row>
    <row r="114" spans="2:28" x14ac:dyDescent="0.2">
      <c r="B114" s="8"/>
      <c r="C114" s="9"/>
      <c r="G114" s="5"/>
      <c r="J114" s="5"/>
      <c r="V114" s="5"/>
      <c r="Y114" s="5"/>
      <c r="Z114" s="24"/>
      <c r="AB114" s="5"/>
    </row>
    <row r="115" spans="2:28" x14ac:dyDescent="0.2">
      <c r="B115" s="8"/>
      <c r="C115" s="9"/>
      <c r="G115" s="5"/>
      <c r="J115" s="5"/>
      <c r="V115" s="5"/>
      <c r="Y115" s="5"/>
      <c r="Z115" s="24"/>
      <c r="AB115" s="5"/>
    </row>
    <row r="116" spans="2:28" x14ac:dyDescent="0.2">
      <c r="B116" s="8"/>
      <c r="C116" s="9"/>
      <c r="G116" s="5"/>
      <c r="J116" s="5"/>
      <c r="V116" s="5"/>
      <c r="Y116" s="5"/>
      <c r="Z116" s="24"/>
      <c r="AB116" s="5"/>
    </row>
    <row r="117" spans="2:28" x14ac:dyDescent="0.2">
      <c r="B117" s="8"/>
      <c r="C117" s="9"/>
      <c r="G117" s="5"/>
      <c r="J117" s="5"/>
      <c r="V117" s="5"/>
      <c r="Y117" s="5"/>
      <c r="Z117" s="24"/>
      <c r="AB117" s="5"/>
    </row>
    <row r="118" spans="2:28" x14ac:dyDescent="0.2">
      <c r="B118" s="8"/>
      <c r="C118" s="9"/>
      <c r="G118" s="5"/>
      <c r="J118" s="5"/>
      <c r="V118" s="5"/>
      <c r="Y118" s="5"/>
      <c r="Z118" s="24"/>
      <c r="AB118" s="5"/>
    </row>
    <row r="119" spans="2:28" x14ac:dyDescent="0.2">
      <c r="B119" s="8"/>
      <c r="C119" s="9"/>
      <c r="G119" s="5"/>
      <c r="J119" s="5"/>
      <c r="V119" s="5"/>
      <c r="Y119" s="5"/>
      <c r="Z119" s="24"/>
      <c r="AB119" s="5"/>
    </row>
    <row r="120" spans="2:28" x14ac:dyDescent="0.2">
      <c r="B120" s="8"/>
      <c r="C120" s="9"/>
      <c r="G120" s="5"/>
      <c r="J120" s="5"/>
      <c r="V120" s="5"/>
      <c r="Y120" s="5"/>
      <c r="Z120" s="24"/>
      <c r="AB120" s="5"/>
    </row>
    <row r="121" spans="2:28" x14ac:dyDescent="0.2">
      <c r="B121" s="8"/>
      <c r="C121" s="9"/>
      <c r="G121" s="5"/>
      <c r="J121" s="5"/>
      <c r="V121" s="5"/>
      <c r="Y121" s="5"/>
      <c r="Z121" s="24"/>
      <c r="AB121" s="5"/>
    </row>
    <row r="122" spans="2:28" x14ac:dyDescent="0.2">
      <c r="B122" s="8"/>
      <c r="C122" s="9"/>
      <c r="G122" s="5"/>
      <c r="J122" s="5"/>
      <c r="V122" s="5"/>
      <c r="Y122" s="5"/>
      <c r="Z122" s="24"/>
      <c r="AB122" s="5"/>
    </row>
    <row r="123" spans="2:28" x14ac:dyDescent="0.2">
      <c r="B123" s="8"/>
      <c r="C123" s="9"/>
      <c r="G123" s="5"/>
      <c r="J123" s="5"/>
      <c r="V123" s="5"/>
      <c r="Y123" s="5"/>
      <c r="Z123" s="24"/>
      <c r="AB123" s="5"/>
    </row>
    <row r="124" spans="2:28" x14ac:dyDescent="0.2">
      <c r="B124" s="8"/>
      <c r="C124" s="9"/>
      <c r="G124" s="5"/>
      <c r="J124" s="5"/>
      <c r="V124" s="5"/>
      <c r="Y124" s="5"/>
      <c r="Z124" s="24"/>
      <c r="AB124" s="5"/>
    </row>
    <row r="125" spans="2:28" x14ac:dyDescent="0.2">
      <c r="B125" s="8"/>
      <c r="C125" s="9"/>
      <c r="G125" s="5"/>
      <c r="J125" s="5"/>
      <c r="V125" s="5"/>
      <c r="Y125" s="5"/>
      <c r="Z125" s="24"/>
      <c r="AB125" s="5"/>
    </row>
    <row r="126" spans="2:28" x14ac:dyDescent="0.2">
      <c r="B126" s="8"/>
      <c r="C126" s="9"/>
      <c r="G126" s="5"/>
      <c r="J126" s="5"/>
      <c r="V126" s="5"/>
      <c r="Y126" s="5"/>
      <c r="Z126" s="24"/>
      <c r="AB126" s="5"/>
    </row>
    <row r="127" spans="2:28" x14ac:dyDescent="0.2">
      <c r="B127" s="8"/>
      <c r="C127" s="9"/>
      <c r="G127" s="5"/>
      <c r="J127" s="5"/>
      <c r="V127" s="5"/>
      <c r="Y127" s="5"/>
      <c r="Z127" s="24"/>
      <c r="AB127" s="5"/>
    </row>
    <row r="128" spans="2:28" x14ac:dyDescent="0.2">
      <c r="B128" s="8"/>
      <c r="C128" s="9"/>
      <c r="G128" s="5"/>
      <c r="J128" s="5"/>
      <c r="V128" s="5"/>
      <c r="Y128" s="5"/>
      <c r="Z128" s="24"/>
      <c r="AB128" s="5"/>
    </row>
    <row r="129" spans="2:28" x14ac:dyDescent="0.2">
      <c r="B129" s="8"/>
      <c r="C129" s="9"/>
      <c r="G129" s="5"/>
      <c r="J129" s="5"/>
      <c r="V129" s="5"/>
      <c r="Y129" s="5"/>
      <c r="Z129" s="24"/>
      <c r="AB129" s="5"/>
    </row>
    <row r="130" spans="2:28" x14ac:dyDescent="0.2">
      <c r="B130" s="8"/>
      <c r="C130" s="9"/>
      <c r="G130" s="5"/>
      <c r="J130" s="5"/>
      <c r="V130" s="5"/>
      <c r="Y130" s="5"/>
      <c r="Z130" s="24"/>
      <c r="AB130" s="5"/>
    </row>
    <row r="131" spans="2:28" x14ac:dyDescent="0.2">
      <c r="B131" s="8"/>
      <c r="C131" s="9"/>
      <c r="G131" s="5"/>
      <c r="J131" s="5"/>
      <c r="V131" s="5"/>
      <c r="Y131" s="5"/>
      <c r="Z131" s="24"/>
      <c r="AB131" s="5"/>
    </row>
    <row r="132" spans="2:28" x14ac:dyDescent="0.2">
      <c r="B132" s="8"/>
      <c r="C132" s="9"/>
      <c r="G132" s="5"/>
      <c r="J132" s="5"/>
      <c r="V132" s="5"/>
      <c r="Y132" s="5"/>
      <c r="Z132" s="24"/>
      <c r="AB132" s="5"/>
    </row>
    <row r="133" spans="2:28" x14ac:dyDescent="0.2">
      <c r="B133" s="8"/>
      <c r="C133" s="9"/>
      <c r="G133" s="5"/>
      <c r="J133" s="5"/>
      <c r="V133" s="5"/>
      <c r="Y133" s="5"/>
      <c r="Z133" s="24"/>
      <c r="AB133" s="5"/>
    </row>
    <row r="134" spans="2:28" x14ac:dyDescent="0.2">
      <c r="B134" s="8"/>
      <c r="C134" s="9"/>
      <c r="G134" s="5"/>
      <c r="J134" s="5"/>
      <c r="V134" s="5"/>
      <c r="Y134" s="5"/>
      <c r="Z134" s="24"/>
      <c r="AB134" s="5"/>
    </row>
    <row r="135" spans="2:28" x14ac:dyDescent="0.2">
      <c r="B135" s="8"/>
      <c r="C135" s="9"/>
      <c r="G135" s="5"/>
      <c r="J135" s="5"/>
      <c r="V135" s="5"/>
      <c r="Y135" s="5"/>
      <c r="Z135" s="24"/>
      <c r="AB135" s="5"/>
    </row>
    <row r="136" spans="2:28" x14ac:dyDescent="0.2">
      <c r="B136" s="8"/>
      <c r="C136" s="9"/>
      <c r="G136" s="5"/>
      <c r="J136" s="5"/>
      <c r="V136" s="5"/>
      <c r="Y136" s="5"/>
      <c r="Z136" s="24"/>
      <c r="AB136" s="5"/>
    </row>
    <row r="137" spans="2:28" x14ac:dyDescent="0.2">
      <c r="B137" s="8"/>
      <c r="C137" s="9"/>
      <c r="G137" s="5"/>
      <c r="J137" s="5"/>
      <c r="V137" s="5"/>
      <c r="Y137" s="5"/>
      <c r="Z137" s="24"/>
      <c r="AB137" s="5"/>
    </row>
    <row r="138" spans="2:28" x14ac:dyDescent="0.2">
      <c r="B138" s="8"/>
      <c r="C138" s="9"/>
      <c r="G138" s="5"/>
      <c r="J138" s="5"/>
      <c r="V138" s="5"/>
      <c r="Y138" s="5"/>
      <c r="Z138" s="24"/>
      <c r="AB138" s="5"/>
    </row>
    <row r="139" spans="2:28" x14ac:dyDescent="0.2">
      <c r="B139" s="8"/>
      <c r="C139" s="9"/>
      <c r="G139" s="5"/>
      <c r="J139" s="5"/>
      <c r="V139" s="5"/>
      <c r="Y139" s="5"/>
      <c r="Z139" s="24"/>
      <c r="AB139" s="5"/>
    </row>
    <row r="140" spans="2:28" x14ac:dyDescent="0.2">
      <c r="B140" s="8"/>
      <c r="C140" s="9"/>
      <c r="G140" s="5"/>
      <c r="J140" s="5"/>
      <c r="V140" s="5"/>
      <c r="Y140" s="5"/>
      <c r="Z140" s="24"/>
      <c r="AB140" s="5"/>
    </row>
    <row r="141" spans="2:28" x14ac:dyDescent="0.2">
      <c r="B141" s="8"/>
      <c r="C141" s="9"/>
      <c r="G141" s="5"/>
      <c r="J141" s="5"/>
      <c r="V141" s="5"/>
      <c r="Y141" s="5"/>
      <c r="Z141" s="24"/>
      <c r="AB141" s="5"/>
    </row>
    <row r="142" spans="2:28" x14ac:dyDescent="0.2">
      <c r="B142" s="8"/>
      <c r="C142" s="9"/>
      <c r="G142" s="5"/>
      <c r="J142" s="5"/>
      <c r="V142" s="5"/>
      <c r="Y142" s="5"/>
      <c r="Z142" s="24"/>
      <c r="AB142" s="5"/>
    </row>
    <row r="143" spans="2:28" x14ac:dyDescent="0.2">
      <c r="B143" s="8"/>
      <c r="C143" s="9"/>
      <c r="G143" s="5"/>
      <c r="J143" s="5"/>
      <c r="V143" s="5"/>
      <c r="Y143" s="5"/>
      <c r="Z143" s="24"/>
      <c r="AB143" s="5"/>
    </row>
    <row r="144" spans="2:28" x14ac:dyDescent="0.2">
      <c r="B144" s="8"/>
      <c r="C144" s="9"/>
      <c r="G144" s="5"/>
      <c r="J144" s="5"/>
      <c r="V144" s="5"/>
      <c r="Y144" s="5"/>
      <c r="Z144" s="24"/>
      <c r="AB144" s="5"/>
    </row>
    <row r="145" spans="2:28" x14ac:dyDescent="0.2">
      <c r="B145" s="8"/>
      <c r="C145" s="9"/>
      <c r="G145" s="5"/>
      <c r="J145" s="5"/>
      <c r="V145" s="5"/>
      <c r="Y145" s="5"/>
      <c r="Z145" s="24"/>
      <c r="AB145" s="5"/>
    </row>
    <row r="146" spans="2:28" x14ac:dyDescent="0.2">
      <c r="B146" s="8"/>
      <c r="C146" s="9"/>
      <c r="G146" s="5"/>
      <c r="J146" s="5"/>
      <c r="V146" s="5"/>
      <c r="Y146" s="5"/>
      <c r="Z146" s="24"/>
      <c r="AB146" s="5"/>
    </row>
    <row r="147" spans="2:28" x14ac:dyDescent="0.2">
      <c r="B147" s="8"/>
      <c r="C147" s="9"/>
      <c r="G147" s="5"/>
      <c r="J147" s="5"/>
      <c r="V147" s="5"/>
      <c r="Y147" s="5"/>
      <c r="Z147" s="24"/>
      <c r="AB147" s="5"/>
    </row>
    <row r="148" spans="2:28" x14ac:dyDescent="0.2">
      <c r="B148" s="8"/>
      <c r="C148" s="9"/>
      <c r="G148" s="5"/>
      <c r="J148" s="5"/>
      <c r="V148" s="5"/>
      <c r="Y148" s="5"/>
      <c r="Z148" s="24"/>
      <c r="AB148" s="5"/>
    </row>
    <row r="149" spans="2:28" x14ac:dyDescent="0.2">
      <c r="B149" s="8"/>
      <c r="C149" s="9"/>
      <c r="G149" s="5"/>
      <c r="J149" s="5"/>
      <c r="V149" s="5"/>
      <c r="Y149" s="5"/>
      <c r="Z149" s="24"/>
      <c r="AB149" s="5"/>
    </row>
    <row r="150" spans="2:28" x14ac:dyDescent="0.2">
      <c r="B150" s="8"/>
      <c r="C150" s="9"/>
      <c r="G150" s="5"/>
      <c r="J150" s="5"/>
      <c r="V150" s="5"/>
      <c r="Y150" s="5"/>
      <c r="Z150" s="24"/>
      <c r="AB150" s="5"/>
    </row>
    <row r="151" spans="2:28" x14ac:dyDescent="0.2">
      <c r="B151" s="8"/>
      <c r="C151" s="9"/>
      <c r="G151" s="5"/>
      <c r="J151" s="5"/>
      <c r="V151" s="5"/>
      <c r="Y151" s="5"/>
      <c r="Z151" s="24"/>
      <c r="AB151" s="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37C57A6-A084-A943-936B-A45DB00DD646}">
          <x14:formula1>
            <xm:f>_Flags_!$G$2:$G$6</xm:f>
          </x14:formula1>
          <xm:sqref>V2:V151 G2:G151 AB2:AB151 Y2:Y151 J2:J151 P2:S151 M2:M151</xm:sqref>
        </x14:dataValidation>
        <x14:dataValidation type="list" allowBlank="1" showInputMessage="1" showErrorMessage="1" xr:uid="{D18ED72B-DC40-F24E-9129-43D2D0AA9BD5}">
          <x14:formula1>
            <xm:f>_Flags_!$F$2:$F$9</xm:f>
          </x14:formula1>
          <xm:sqref>F2:F151 I2:I151 X2:X151 U2:U151 AA2:AA151 O2:O151 L2:L151</xm:sqref>
        </x14:dataValidation>
        <x14:dataValidation type="list" allowBlank="1" showInputMessage="1" showErrorMessage="1" xr:uid="{5BC848A4-9396-F144-AF37-2D132F1A493E}">
          <x14:formula1>
            <xm:f>_Flags_!$E$2:$E$17</xm:f>
          </x14:formula1>
          <xm:sqref>C2:C151</xm:sqref>
        </x14:dataValidation>
        <x14:dataValidation type="list" allowBlank="1" showInputMessage="1" showErrorMessage="1" xr:uid="{41E7EDEE-BC5C-2E41-9491-A67091CBD0F5}">
          <x14:formula1>
            <xm:f>_NiskinBottles_!$A:$A</xm:f>
          </x14:formula1>
          <xm:sqref>B2:B151</xm:sqref>
        </x14:dataValidation>
        <x14:dataValidation type="list" allowBlank="1" showInputMessage="1" showErrorMessage="1" xr:uid="{8EF06E14-8CC7-BE42-9E7C-702171EB6B83}">
          <x14:formula1>
            <xm:f>CastList!$D:$D</xm:f>
          </x14:formula1>
          <xm:sqref>A2:A151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F7BD0-3955-2E40-B18E-358A51B039F0}">
  <sheetPr codeName="Sheet6">
    <tabColor rgb="FF92D050"/>
  </sheetPr>
  <dimension ref="A1:K4"/>
  <sheetViews>
    <sheetView workbookViewId="0"/>
  </sheetViews>
  <sheetFormatPr baseColWidth="10" defaultRowHeight="16" x14ac:dyDescent="0.2"/>
  <cols>
    <col min="2" max="2" width="7.5" bestFit="1" customWidth="1"/>
    <col min="3" max="3" width="20.83203125" bestFit="1" customWidth="1"/>
    <col min="4" max="4" width="22.33203125" bestFit="1" customWidth="1"/>
    <col min="5" max="5" width="22.33203125" customWidth="1"/>
    <col min="6" max="6" width="26.6640625" bestFit="1" customWidth="1"/>
    <col min="7" max="7" width="23.33203125" customWidth="1"/>
    <col min="8" max="8" width="33.6640625" bestFit="1" customWidth="1"/>
    <col min="9" max="9" width="9.83203125" bestFit="1" customWidth="1"/>
    <col min="10" max="10" width="30.6640625" bestFit="1" customWidth="1"/>
  </cols>
  <sheetData>
    <row r="1" spans="1:11" x14ac:dyDescent="0.2">
      <c r="A1" s="6" t="s">
        <v>16</v>
      </c>
      <c r="B1" s="6" t="s">
        <v>279</v>
      </c>
      <c r="C1" s="6" t="s">
        <v>280</v>
      </c>
      <c r="D1" s="6" t="s">
        <v>281</v>
      </c>
      <c r="E1" s="6" t="s">
        <v>282</v>
      </c>
      <c r="F1" s="6" t="s">
        <v>278</v>
      </c>
      <c r="G1" s="6" t="s">
        <v>277</v>
      </c>
      <c r="H1" s="6" t="s">
        <v>276</v>
      </c>
      <c r="I1" s="6" t="s">
        <v>275</v>
      </c>
      <c r="J1" s="6" t="s">
        <v>274</v>
      </c>
      <c r="K1" s="6" t="s">
        <v>0</v>
      </c>
    </row>
    <row r="2" spans="1:11" x14ac:dyDescent="0.2">
      <c r="A2" t="s">
        <v>103</v>
      </c>
      <c r="B2" t="s">
        <v>129</v>
      </c>
      <c r="C2">
        <v>45.926398480000003</v>
      </c>
      <c r="D2">
        <v>-129.97902339999999</v>
      </c>
      <c r="E2" t="s">
        <v>283</v>
      </c>
      <c r="F2" t="s">
        <v>273</v>
      </c>
      <c r="G2" t="s">
        <v>272</v>
      </c>
      <c r="H2" t="s">
        <v>271</v>
      </c>
      <c r="I2">
        <v>1522.1220000000001</v>
      </c>
      <c r="J2" t="s">
        <v>270</v>
      </c>
    </row>
    <row r="3" spans="1:11" x14ac:dyDescent="0.2">
      <c r="A3" t="s">
        <v>103</v>
      </c>
      <c r="B3" t="s">
        <v>116</v>
      </c>
      <c r="C3">
        <v>44.637182680000002</v>
      </c>
      <c r="D3">
        <v>-124.30579422</v>
      </c>
      <c r="E3" t="s">
        <v>284</v>
      </c>
      <c r="F3" t="s">
        <v>269</v>
      </c>
      <c r="G3" t="s">
        <v>118</v>
      </c>
      <c r="H3" t="s">
        <v>268</v>
      </c>
      <c r="I3">
        <v>81.334999999999994</v>
      </c>
      <c r="J3" t="s">
        <v>267</v>
      </c>
    </row>
    <row r="4" spans="1:11" x14ac:dyDescent="0.2">
      <c r="A4" t="s">
        <v>103</v>
      </c>
      <c r="B4" t="s">
        <v>116</v>
      </c>
      <c r="C4">
        <v>44.63723014</v>
      </c>
      <c r="D4">
        <v>-124.3058499</v>
      </c>
      <c r="E4" t="s">
        <v>284</v>
      </c>
      <c r="F4" t="s">
        <v>266</v>
      </c>
      <c r="G4" t="s">
        <v>117</v>
      </c>
      <c r="H4" t="s">
        <v>265</v>
      </c>
      <c r="I4">
        <v>0.93400000000000005</v>
      </c>
      <c r="J4" t="s">
        <v>264</v>
      </c>
      <c r="K4" t="s">
        <v>263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52BF-7886-9041-9463-777569FB6FB9}">
  <sheetPr codeName="Sheet14">
    <tabColor rgb="FF00B050"/>
  </sheetPr>
  <dimension ref="A1:V50"/>
  <sheetViews>
    <sheetView workbookViewId="0">
      <selection sqref="A1:G1"/>
    </sheetView>
  </sheetViews>
  <sheetFormatPr baseColWidth="10" defaultRowHeight="16" x14ac:dyDescent="0.2"/>
  <cols>
    <col min="1" max="3" width="9.83203125" customWidth="1"/>
    <col min="4" max="4" width="9.83203125" style="29" customWidth="1"/>
    <col min="5" max="6" width="9.83203125" customWidth="1"/>
    <col min="7" max="9" width="11.33203125" customWidth="1"/>
    <col min="10" max="10" width="21" customWidth="1"/>
    <col min="11" max="11" width="20.33203125" customWidth="1"/>
    <col min="12" max="12" width="23" customWidth="1"/>
    <col min="21" max="21" width="12" bestFit="1" customWidth="1"/>
    <col min="22" max="22" width="10.5" customWidth="1"/>
  </cols>
  <sheetData>
    <row r="1" spans="1:22" ht="17" customHeight="1" x14ac:dyDescent="0.2">
      <c r="A1" s="33" t="s">
        <v>9</v>
      </c>
      <c r="B1" s="33"/>
      <c r="C1" s="33"/>
      <c r="D1" s="33"/>
      <c r="E1" s="33"/>
      <c r="F1" s="33"/>
      <c r="G1" s="33"/>
      <c r="H1" s="14"/>
      <c r="I1" s="14"/>
      <c r="M1" s="52" t="s">
        <v>226</v>
      </c>
      <c r="N1" s="52" t="s">
        <v>227</v>
      </c>
      <c r="O1" s="52" t="s">
        <v>228</v>
      </c>
      <c r="P1" s="52" t="s">
        <v>229</v>
      </c>
      <c r="Q1" s="52" t="s">
        <v>230</v>
      </c>
      <c r="R1" s="52" t="s">
        <v>231</v>
      </c>
      <c r="S1" s="52" t="s">
        <v>232</v>
      </c>
      <c r="T1" s="52" t="s">
        <v>233</v>
      </c>
      <c r="U1" s="51" t="s">
        <v>236</v>
      </c>
      <c r="V1" s="51" t="s">
        <v>235</v>
      </c>
    </row>
    <row r="2" spans="1:22" x14ac:dyDescent="0.2">
      <c r="A2" s="34" t="s">
        <v>2</v>
      </c>
      <c r="B2" s="34"/>
      <c r="C2" s="35" t="s">
        <v>103</v>
      </c>
      <c r="D2" s="35"/>
      <c r="E2" s="35"/>
      <c r="F2" s="35"/>
      <c r="G2" s="35"/>
      <c r="H2" s="2"/>
      <c r="I2" s="2"/>
      <c r="L2" t="s">
        <v>225</v>
      </c>
      <c r="M2" s="52"/>
      <c r="N2" s="52"/>
      <c r="O2" s="52"/>
      <c r="P2" s="52"/>
      <c r="Q2" s="52"/>
      <c r="R2" s="52"/>
      <c r="S2" s="52"/>
      <c r="T2" s="52"/>
      <c r="U2" s="51"/>
      <c r="V2" s="51"/>
    </row>
    <row r="3" spans="1:22" x14ac:dyDescent="0.2">
      <c r="A3" s="47" t="s">
        <v>4</v>
      </c>
      <c r="B3" s="48"/>
      <c r="C3" s="13">
        <v>0.01</v>
      </c>
      <c r="D3" s="28"/>
      <c r="E3" s="12"/>
      <c r="F3" s="12"/>
      <c r="G3" s="12"/>
      <c r="H3" s="2"/>
      <c r="I3" s="2"/>
    </row>
    <row r="4" spans="1:22" x14ac:dyDescent="0.2">
      <c r="A4" s="47" t="s">
        <v>3</v>
      </c>
      <c r="B4" s="48"/>
      <c r="C4" s="13">
        <v>10</v>
      </c>
      <c r="D4" s="28"/>
      <c r="E4" s="12"/>
      <c r="F4" s="12"/>
      <c r="G4" s="12"/>
      <c r="H4" s="2"/>
      <c r="I4" s="2"/>
      <c r="L4">
        <v>1</v>
      </c>
      <c r="M4">
        <v>0.50249999999999995</v>
      </c>
      <c r="N4">
        <v>0.50049999999999994</v>
      </c>
      <c r="O4">
        <v>0.50600000000000001</v>
      </c>
      <c r="P4">
        <v>0.50700000000000001</v>
      </c>
      <c r="Q4" s="30">
        <v>4.2500000000000003E-2</v>
      </c>
      <c r="R4">
        <v>0.04</v>
      </c>
      <c r="U4">
        <f>AVERAGE(M4:P4)</f>
        <v>0.504</v>
      </c>
      <c r="V4">
        <f>AVERAGE((Q4-R4))</f>
        <v>2.5000000000000022E-3</v>
      </c>
    </row>
    <row r="5" spans="1:22" ht="13" customHeight="1" x14ac:dyDescent="0.2">
      <c r="A5" s="3"/>
      <c r="B5" s="3"/>
      <c r="L5">
        <v>2</v>
      </c>
      <c r="M5">
        <v>0.51149999999999995</v>
      </c>
      <c r="N5" s="1">
        <v>0.51700000000000002</v>
      </c>
      <c r="O5" s="30">
        <v>0.51549999999999996</v>
      </c>
      <c r="P5" s="30">
        <v>0.51249999999999996</v>
      </c>
      <c r="Q5">
        <v>4.8500000000000001E-2</v>
      </c>
      <c r="R5">
        <v>3.6499999999999998E-2</v>
      </c>
      <c r="U5">
        <f>AVERAGE(M5:P5)</f>
        <v>0.51412499999999994</v>
      </c>
      <c r="V5">
        <f>AVERAGE((Q5-R5))</f>
        <v>1.2000000000000004E-2</v>
      </c>
    </row>
    <row r="6" spans="1:22" x14ac:dyDescent="0.2">
      <c r="A6" s="37" t="s">
        <v>5</v>
      </c>
      <c r="B6" s="37"/>
      <c r="C6" s="35"/>
      <c r="D6" s="35"/>
      <c r="E6" s="35"/>
      <c r="F6" s="35"/>
      <c r="G6" s="35"/>
      <c r="H6" s="2"/>
      <c r="I6" s="2"/>
      <c r="M6" s="1"/>
    </row>
    <row r="7" spans="1:22" ht="13" customHeight="1" x14ac:dyDescent="0.2">
      <c r="M7" s="1"/>
    </row>
    <row r="8" spans="1:22" ht="13" customHeight="1" x14ac:dyDescent="0.2">
      <c r="A8" s="38" t="s">
        <v>6</v>
      </c>
      <c r="B8" s="38" t="s">
        <v>8</v>
      </c>
      <c r="C8" s="38" t="s">
        <v>7</v>
      </c>
      <c r="D8" s="39" t="s">
        <v>12</v>
      </c>
      <c r="E8" s="40" t="s">
        <v>222</v>
      </c>
      <c r="F8" s="41" t="s">
        <v>223</v>
      </c>
      <c r="G8" s="43" t="s">
        <v>224</v>
      </c>
      <c r="H8" s="49" t="s">
        <v>234</v>
      </c>
      <c r="I8" s="49" t="s">
        <v>235</v>
      </c>
      <c r="J8" s="45" t="s">
        <v>262</v>
      </c>
      <c r="K8" s="36" t="s">
        <v>0</v>
      </c>
    </row>
    <row r="9" spans="1:22" ht="15" customHeight="1" x14ac:dyDescent="0.2">
      <c r="A9" s="38"/>
      <c r="B9" s="38"/>
      <c r="C9" s="38"/>
      <c r="D9" s="39"/>
      <c r="E9" s="40"/>
      <c r="F9" s="42"/>
      <c r="G9" s="44"/>
      <c r="H9" s="50"/>
      <c r="I9" s="50"/>
      <c r="J9" s="46"/>
      <c r="K9" s="36"/>
    </row>
    <row r="10" spans="1:22" x14ac:dyDescent="0.2">
      <c r="A10" t="str">
        <f>INDEX(SampleList!A:A,MATCH(D10,SampleList!E:E,0),1)</f>
        <v>CTD-006</v>
      </c>
      <c r="B10">
        <f>INDEX(SampleList!B:B,MATCH(D10,SampleList!E:E,0),1)</f>
        <v>22</v>
      </c>
      <c r="C10">
        <f>INDEX(SampleList!D:D,MATCH(D10,SampleList!E:E,0),1)</f>
        <v>20</v>
      </c>
      <c r="D10" s="29" cm="1">
        <f t="array" ref="D10:D50">_xlfn._xlws.SORT(_xlfn.UNIQUE(_xlfn._xlws.FILTER((SampleList!E2:INDEX(SampleList!E:E, ROWS(SampleList!E:E))),(SampleList!E2:INDEX(SampleList!E:E, ROWS(SampleList!E:E)))&lt;&gt;"")))</f>
        <v>121</v>
      </c>
      <c r="E10">
        <f>LOOKUP(D10,'++OxygenParameters++'!A:A,'++OxygenParameters++'!B:B)</f>
        <v>132.41</v>
      </c>
      <c r="F10">
        <v>0.77449999999999997</v>
      </c>
      <c r="G10">
        <v>1</v>
      </c>
      <c r="H10">
        <f>LOOKUP(G10,L:L,U:U)</f>
        <v>0.504</v>
      </c>
      <c r="I10">
        <f>LOOKUP(G10,L:L,V:V)</f>
        <v>2.5000000000000022E-3</v>
      </c>
      <c r="J10" s="10">
        <f>(((((F10-I10)*$C$4*$C$3*5598)/(H10-I10))-1000*0.0017)/(E10-2))</f>
        <v>6.5949387479001533</v>
      </c>
    </row>
    <row r="11" spans="1:22" x14ac:dyDescent="0.2">
      <c r="A11" t="str">
        <f>INDEX(SampleList!A:A,MATCH(D11,SampleList!E:E,0),1)</f>
        <v>CTD-007</v>
      </c>
      <c r="B11">
        <f>INDEX(SampleList!B:B,MATCH(D11,SampleList!E:E,0),1)</f>
        <v>3</v>
      </c>
      <c r="C11">
        <f>INDEX(SampleList!D:D,MATCH(D11,SampleList!E:E,0),1)</f>
        <v>2600</v>
      </c>
      <c r="D11" s="29">
        <v>122</v>
      </c>
      <c r="E11">
        <f>LOOKUP(D11,'++OxygenParameters++'!A:A,'++OxygenParameters++'!B:B)</f>
        <v>134.55000000000001</v>
      </c>
      <c r="J11" s="10"/>
      <c r="K11" t="s">
        <v>237</v>
      </c>
    </row>
    <row r="12" spans="1:22" x14ac:dyDescent="0.2">
      <c r="A12" t="str">
        <f>INDEX(SampleList!A:A,MATCH(D12,SampleList!E:E,0),1)</f>
        <v>CTD-007</v>
      </c>
      <c r="B12">
        <f>INDEX(SampleList!B:B,MATCH(D12,SampleList!E:E,0),1)</f>
        <v>5</v>
      </c>
      <c r="C12">
        <f>INDEX(SampleList!D:D,MATCH(D12,SampleList!E:E,0),1)</f>
        <v>2250</v>
      </c>
      <c r="D12" s="29">
        <v>123</v>
      </c>
      <c r="E12">
        <f>LOOKUP(D12,'++OxygenParameters++'!A:A,'++OxygenParameters++'!B:B)</f>
        <v>137.55000000000001</v>
      </c>
      <c r="F12">
        <v>0.21299999999999999</v>
      </c>
      <c r="G12">
        <v>1</v>
      </c>
      <c r="H12">
        <f t="shared" ref="H12:H50" si="0">LOOKUP(G12,L:L,U:U)</f>
        <v>0.504</v>
      </c>
      <c r="I12">
        <f t="shared" ref="I12:I50" si="1">LOOKUP(G12,L:L,V:V)</f>
        <v>2.5000000000000022E-3</v>
      </c>
      <c r="J12" s="10">
        <f t="shared" ref="J12:J50" si="2">(((((F12-I12)*$C$4*$C$3*5598)/(H12-I12))-1000*0.0017)/(E12-2))</f>
        <v>1.7209213377940686</v>
      </c>
    </row>
    <row r="13" spans="1:22" x14ac:dyDescent="0.2">
      <c r="A13" t="str">
        <f>INDEX(SampleList!A:A,MATCH(D13,SampleList!E:E,0),1)</f>
        <v>CTD-007</v>
      </c>
      <c r="B13">
        <f>INDEX(SampleList!B:B,MATCH(D13,SampleList!E:E,0),1)</f>
        <v>7</v>
      </c>
      <c r="C13">
        <f>INDEX(SampleList!D:D,MATCH(D13,SampleList!E:E,0),1)</f>
        <v>1500</v>
      </c>
      <c r="D13" s="29">
        <v>124</v>
      </c>
      <c r="E13">
        <f>LOOKUP(D13,'++OxygenParameters++'!A:A,'++OxygenParameters++'!B:B)</f>
        <v>137.68</v>
      </c>
      <c r="F13">
        <v>9.2999999999999999E-2</v>
      </c>
      <c r="G13">
        <v>1</v>
      </c>
      <c r="H13">
        <f t="shared" si="0"/>
        <v>0.504</v>
      </c>
      <c r="I13">
        <f t="shared" si="1"/>
        <v>2.5000000000000022E-3</v>
      </c>
      <c r="J13" s="10">
        <f t="shared" si="2"/>
        <v>0.7320219471303071</v>
      </c>
    </row>
    <row r="14" spans="1:22" x14ac:dyDescent="0.2">
      <c r="A14" t="str">
        <f>INDEX(SampleList!A:A,MATCH(D14,SampleList!E:E,0),1)</f>
        <v>CTD-009</v>
      </c>
      <c r="B14">
        <f>INDEX(SampleList!B:B,MATCH(D14,SampleList!E:E,0),1)</f>
        <v>11</v>
      </c>
      <c r="C14">
        <f>INDEX(SampleList!D:D,MATCH(D14,SampleList!E:E,0),1)</f>
        <v>120</v>
      </c>
      <c r="D14" s="29">
        <v>125</v>
      </c>
      <c r="E14">
        <f>LOOKUP(D14,'++OxygenParameters++'!A:A,'++OxygenParameters++'!B:B)</f>
        <v>133.4</v>
      </c>
      <c r="F14">
        <v>0.22600000000000001</v>
      </c>
      <c r="G14">
        <v>1</v>
      </c>
      <c r="H14">
        <f t="shared" si="0"/>
        <v>0.504</v>
      </c>
      <c r="I14">
        <f t="shared" si="1"/>
        <v>2.5000000000000022E-3</v>
      </c>
      <c r="J14" s="10">
        <f t="shared" si="2"/>
        <v>1.8857089310455237</v>
      </c>
    </row>
    <row r="15" spans="1:22" x14ac:dyDescent="0.2">
      <c r="A15" t="str">
        <f>INDEX(SampleList!A:A,MATCH(D15,SampleList!E:E,0),1)</f>
        <v>CTD-009</v>
      </c>
      <c r="B15">
        <f>INDEX(SampleList!B:B,MATCH(D15,SampleList!E:E,0),1)</f>
        <v>12</v>
      </c>
      <c r="C15">
        <f>INDEX(SampleList!D:D,MATCH(D15,SampleList!E:E,0),1)</f>
        <v>120</v>
      </c>
      <c r="D15" s="29">
        <v>126</v>
      </c>
      <c r="E15">
        <f>LOOKUP(D15,'++OxygenParameters++'!A:A,'++OxygenParameters++'!B:B)</f>
        <v>130.78</v>
      </c>
      <c r="F15">
        <v>0.23300000000000001</v>
      </c>
      <c r="G15">
        <v>1</v>
      </c>
      <c r="H15">
        <f t="shared" si="0"/>
        <v>0.504</v>
      </c>
      <c r="I15">
        <f t="shared" si="1"/>
        <v>2.5000000000000022E-3</v>
      </c>
      <c r="J15" s="10">
        <f t="shared" si="2"/>
        <v>1.9847485033639569</v>
      </c>
    </row>
    <row r="16" spans="1:22" x14ac:dyDescent="0.2">
      <c r="A16" t="str">
        <f>INDEX(SampleList!A:A,MATCH(D16,SampleList!E:E,0),1)</f>
        <v>CTD-009</v>
      </c>
      <c r="B16">
        <f>INDEX(SampleList!B:B,MATCH(D16,SampleList!E:E,0),1)</f>
        <v>17</v>
      </c>
      <c r="C16">
        <f>INDEX(SampleList!D:D,MATCH(D16,SampleList!E:E,0),1)</f>
        <v>60</v>
      </c>
      <c r="D16" s="29">
        <v>127</v>
      </c>
      <c r="E16">
        <f>LOOKUP(D16,'++OxygenParameters++'!A:A,'++OxygenParameters++'!B:B)</f>
        <v>134.49</v>
      </c>
      <c r="F16">
        <v>0.34699999999999998</v>
      </c>
      <c r="G16">
        <v>1</v>
      </c>
      <c r="H16">
        <f t="shared" si="0"/>
        <v>0.504</v>
      </c>
      <c r="I16">
        <f t="shared" si="1"/>
        <v>2.5000000000000022E-3</v>
      </c>
      <c r="J16" s="10">
        <f t="shared" si="2"/>
        <v>2.8896411377235189</v>
      </c>
    </row>
    <row r="17" spans="1:12" x14ac:dyDescent="0.2">
      <c r="A17" t="str">
        <f>INDEX(SampleList!A:A,MATCH(D17,SampleList!E:E,0),1)</f>
        <v>CTD-009</v>
      </c>
      <c r="B17">
        <f>INDEX(SampleList!B:B,MATCH(D17,SampleList!E:E,0),1)</f>
        <v>18</v>
      </c>
      <c r="C17">
        <f>INDEX(SampleList!D:D,MATCH(D17,SampleList!E:E,0),1)</f>
        <v>60</v>
      </c>
      <c r="D17" s="29">
        <v>128</v>
      </c>
      <c r="E17">
        <f>LOOKUP(D17,'++OxygenParameters++'!A:A,'++OxygenParameters++'!B:B)</f>
        <v>134.38999999999999</v>
      </c>
      <c r="F17">
        <v>0.34100000000000003</v>
      </c>
      <c r="G17">
        <v>1</v>
      </c>
      <c r="H17">
        <f t="shared" si="0"/>
        <v>0.504</v>
      </c>
      <c r="I17">
        <f t="shared" si="1"/>
        <v>2.5000000000000022E-3</v>
      </c>
      <c r="J17" s="10">
        <f t="shared" si="2"/>
        <v>2.8412345861426225</v>
      </c>
      <c r="L17" s="2"/>
    </row>
    <row r="18" spans="1:12" x14ac:dyDescent="0.2">
      <c r="A18" t="str">
        <f>INDEX(SampleList!A:A,MATCH(D18,SampleList!E:E,0),1)</f>
        <v>CTD-009</v>
      </c>
      <c r="B18">
        <f>INDEX(SampleList!B:B,MATCH(D18,SampleList!E:E,0),1)</f>
        <v>21</v>
      </c>
      <c r="C18">
        <f>INDEX(SampleList!D:D,MATCH(D18,SampleList!E:E,0),1)</f>
        <v>20</v>
      </c>
      <c r="D18" s="29">
        <v>129</v>
      </c>
      <c r="E18">
        <f>LOOKUP(D18,'++OxygenParameters++'!A:A,'++OxygenParameters++'!B:B)</f>
        <v>133.32</v>
      </c>
      <c r="F18">
        <v>0.59599999999999997</v>
      </c>
      <c r="G18">
        <v>1</v>
      </c>
      <c r="H18">
        <f t="shared" si="0"/>
        <v>0.504</v>
      </c>
      <c r="I18">
        <f t="shared" si="1"/>
        <v>2.5000000000000022E-3</v>
      </c>
      <c r="J18" s="10">
        <f t="shared" si="2"/>
        <v>5.0319457406033479</v>
      </c>
      <c r="L18" s="2"/>
    </row>
    <row r="19" spans="1:12" x14ac:dyDescent="0.2">
      <c r="A19" t="str">
        <f>INDEX(SampleList!A:A,MATCH(D19,SampleList!E:E,0),1)</f>
        <v>CTD-009</v>
      </c>
      <c r="B19">
        <f>INDEX(SampleList!B:B,MATCH(D19,SampleList!E:E,0),1)</f>
        <v>22</v>
      </c>
      <c r="C19">
        <f>INDEX(SampleList!D:D,MATCH(D19,SampleList!E:E,0),1)</f>
        <v>20</v>
      </c>
      <c r="D19" s="29">
        <v>130</v>
      </c>
      <c r="E19">
        <f>LOOKUP(D19,'++OxygenParameters++'!A:A,'++OxygenParameters++'!B:B)</f>
        <v>130.1</v>
      </c>
      <c r="F19">
        <v>0.59499999999999997</v>
      </c>
      <c r="G19">
        <v>1</v>
      </c>
      <c r="H19">
        <f t="shared" si="0"/>
        <v>0.504</v>
      </c>
      <c r="I19">
        <f t="shared" si="1"/>
        <v>2.5000000000000022E-3</v>
      </c>
      <c r="J19" s="10">
        <f t="shared" si="2"/>
        <v>5.1497179032768994</v>
      </c>
      <c r="L19" s="2"/>
    </row>
    <row r="20" spans="1:12" x14ac:dyDescent="0.2">
      <c r="A20" t="str">
        <f>INDEX(SampleList!A:A,MATCH(D20,SampleList!E:E,0),1)</f>
        <v>CTD-010</v>
      </c>
      <c r="B20">
        <f>INDEX(SampleList!B:B,MATCH(D20,SampleList!E:E,0),1)</f>
        <v>2</v>
      </c>
      <c r="C20">
        <f>INDEX(SampleList!D:D,MATCH(D20,SampleList!E:E,0),1)</f>
        <v>575</v>
      </c>
      <c r="D20" s="29">
        <v>131</v>
      </c>
      <c r="E20">
        <f>LOOKUP(D20,'++OxygenParameters++'!A:A,'++OxygenParameters++'!B:B)</f>
        <v>129.76</v>
      </c>
      <c r="F20">
        <v>8.3000000000000004E-2</v>
      </c>
      <c r="G20">
        <v>1</v>
      </c>
      <c r="H20">
        <f t="shared" si="0"/>
        <v>0.504</v>
      </c>
      <c r="I20">
        <f t="shared" si="1"/>
        <v>2.5000000000000022E-3</v>
      </c>
      <c r="J20" s="10">
        <f t="shared" si="2"/>
        <v>0.69002994148425101</v>
      </c>
      <c r="K20" t="s">
        <v>297</v>
      </c>
      <c r="L20" s="2"/>
    </row>
    <row r="21" spans="1:12" x14ac:dyDescent="0.2">
      <c r="A21" t="str">
        <f>INDEX(SampleList!A:A,MATCH(D21,SampleList!E:E,0),1)</f>
        <v>CTD-010</v>
      </c>
      <c r="B21">
        <f>INDEX(SampleList!B:B,MATCH(D21,SampleList!E:E,0),1)</f>
        <v>10</v>
      </c>
      <c r="C21">
        <f>INDEX(SampleList!D:D,MATCH(D21,SampleList!E:E,0),1)</f>
        <v>350</v>
      </c>
      <c r="D21" s="29">
        <v>133</v>
      </c>
      <c r="E21">
        <f>LOOKUP(D21,'++OxygenParameters++'!A:A,'++OxygenParameters++'!B:B)</f>
        <v>133.35</v>
      </c>
      <c r="F21">
        <v>0.14149999999999999</v>
      </c>
      <c r="G21">
        <v>1</v>
      </c>
      <c r="H21">
        <f t="shared" si="0"/>
        <v>0.504</v>
      </c>
      <c r="I21">
        <f t="shared" si="1"/>
        <v>2.5000000000000022E-3</v>
      </c>
      <c r="J21" s="10">
        <f t="shared" si="2"/>
        <v>1.1683206945588811</v>
      </c>
      <c r="L21" s="2"/>
    </row>
    <row r="22" spans="1:12" x14ac:dyDescent="0.2">
      <c r="A22" t="str">
        <f>INDEX(SampleList!A:A,MATCH(D22,SampleList!E:E,0),1)</f>
        <v>J2-1272</v>
      </c>
      <c r="B22" t="str">
        <f>INDEX(SampleList!B:B,MATCH(D22,SampleList!E:E,0),1)</f>
        <v>Aft</v>
      </c>
      <c r="C22">
        <f>INDEX(SampleList!D:D,MATCH(D22,SampleList!E:E,0),1)</f>
        <v>81</v>
      </c>
      <c r="D22" s="29">
        <v>135</v>
      </c>
      <c r="E22">
        <f>LOOKUP(D22,'++OxygenParameters++'!A:A,'++OxygenParameters++'!B:B)</f>
        <v>141.38999999999999</v>
      </c>
      <c r="F22">
        <v>0.16350000000000001</v>
      </c>
      <c r="G22">
        <v>1</v>
      </c>
      <c r="H22">
        <f t="shared" si="0"/>
        <v>0.504</v>
      </c>
      <c r="I22">
        <f t="shared" si="1"/>
        <v>2.5000000000000022E-3</v>
      </c>
      <c r="J22" s="10">
        <f t="shared" si="2"/>
        <v>1.2771106295147128</v>
      </c>
      <c r="L22" s="2"/>
    </row>
    <row r="23" spans="1:12" x14ac:dyDescent="0.2">
      <c r="A23" t="str">
        <f>INDEX(SampleList!A:A,MATCH(D23,SampleList!E:E,0),1)</f>
        <v>J2-1272</v>
      </c>
      <c r="B23" t="str">
        <f>INDEX(SampleList!B:B,MATCH(D23,SampleList!E:E,0),1)</f>
        <v>Forward</v>
      </c>
      <c r="C23">
        <f>INDEX(SampleList!D:D,MATCH(D23,SampleList!E:E,0),1)</f>
        <v>5.9</v>
      </c>
      <c r="D23" s="29">
        <v>136</v>
      </c>
      <c r="E23">
        <f>LOOKUP(D23,'++OxygenParameters++'!A:A,'++OxygenParameters++'!B:B)</f>
        <v>140.79</v>
      </c>
      <c r="F23">
        <v>0.60499999999999998</v>
      </c>
      <c r="G23">
        <v>1</v>
      </c>
      <c r="H23">
        <f t="shared" si="0"/>
        <v>0.504</v>
      </c>
      <c r="I23">
        <f t="shared" si="1"/>
        <v>2.5000000000000022E-3</v>
      </c>
      <c r="J23" s="10">
        <f t="shared" si="2"/>
        <v>4.8334993578239276</v>
      </c>
    </row>
    <row r="24" spans="1:12" x14ac:dyDescent="0.2">
      <c r="A24" t="str">
        <f>INDEX(SampleList!A:A,MATCH(D24,SampleList!E:E,0),1)</f>
        <v>J2-1272</v>
      </c>
      <c r="B24" t="str">
        <f>INDEX(SampleList!B:B,MATCH(D24,SampleList!E:E,0),1)</f>
        <v>Aft</v>
      </c>
      <c r="C24">
        <f>INDEX(SampleList!D:D,MATCH(D24,SampleList!E:E,0),1)</f>
        <v>81</v>
      </c>
      <c r="D24" s="29">
        <v>137</v>
      </c>
      <c r="E24">
        <f>LOOKUP(D24,'++OxygenParameters++'!A:A,'++OxygenParameters++'!B:B)</f>
        <v>132.36000000000001</v>
      </c>
      <c r="F24">
        <v>0.16450000000000001</v>
      </c>
      <c r="G24">
        <v>1</v>
      </c>
      <c r="H24">
        <f t="shared" si="0"/>
        <v>0.504</v>
      </c>
      <c r="I24">
        <f t="shared" si="1"/>
        <v>2.5000000000000022E-3</v>
      </c>
      <c r="J24" s="10">
        <f t="shared" si="2"/>
        <v>1.3741385539607016</v>
      </c>
    </row>
    <row r="25" spans="1:12" x14ac:dyDescent="0.2">
      <c r="A25" t="str">
        <f>INDEX(SampleList!A:A,MATCH(D25,SampleList!E:E,0),1)</f>
        <v>J2-1272</v>
      </c>
      <c r="B25" t="str">
        <f>INDEX(SampleList!B:B,MATCH(D25,SampleList!E:E,0),1)</f>
        <v>Forward</v>
      </c>
      <c r="C25">
        <f>INDEX(SampleList!D:D,MATCH(D25,SampleList!E:E,0),1)</f>
        <v>5.9</v>
      </c>
      <c r="D25" s="29">
        <v>138</v>
      </c>
      <c r="E25">
        <f>LOOKUP(D25,'++OxygenParameters++'!A:A,'++OxygenParameters++'!B:B)</f>
        <v>133.13</v>
      </c>
      <c r="F25">
        <v>0.58650000000000002</v>
      </c>
      <c r="G25">
        <v>1</v>
      </c>
      <c r="H25">
        <f t="shared" si="0"/>
        <v>0.504</v>
      </c>
      <c r="I25">
        <f t="shared" si="1"/>
        <v>2.5000000000000022E-3</v>
      </c>
      <c r="J25" s="10">
        <f t="shared" si="2"/>
        <v>4.9583674812518144</v>
      </c>
    </row>
    <row r="26" spans="1:12" x14ac:dyDescent="0.2">
      <c r="A26" t="str">
        <f>INDEX(SampleList!A:A,MATCH(D26,SampleList!E:E,0),1)</f>
        <v>CTD-001</v>
      </c>
      <c r="B26">
        <f>INDEX(SampleList!B:B,MATCH(D26,SampleList!E:E,0),1)</f>
        <v>18</v>
      </c>
      <c r="C26">
        <f>INDEX(SampleList!D:D,MATCH(D26,SampleList!E:E,0),1)</f>
        <v>100</v>
      </c>
      <c r="D26" s="29">
        <v>266</v>
      </c>
      <c r="E26">
        <f>LOOKUP(D26,'++OxygenParameters++'!A:A,'++OxygenParameters++'!B:B)</f>
        <v>144.51</v>
      </c>
      <c r="F26">
        <v>0.39100000000000001</v>
      </c>
      <c r="G26">
        <v>2</v>
      </c>
      <c r="H26">
        <f t="shared" si="0"/>
        <v>0.51412499999999994</v>
      </c>
      <c r="I26">
        <f t="shared" si="1"/>
        <v>1.2000000000000004E-2</v>
      </c>
      <c r="J26" s="10">
        <f t="shared" si="2"/>
        <v>2.9530042544084152</v>
      </c>
    </row>
    <row r="27" spans="1:12" x14ac:dyDescent="0.2">
      <c r="A27" t="str">
        <f>INDEX(SampleList!A:A,MATCH(D27,SampleList!E:E,0),1)</f>
        <v>CTD-001</v>
      </c>
      <c r="B27">
        <f>INDEX(SampleList!B:B,MATCH(D27,SampleList!E:E,0),1)</f>
        <v>20</v>
      </c>
      <c r="C27">
        <f>INDEX(SampleList!D:D,MATCH(D27,SampleList!E:E,0),1)</f>
        <v>50</v>
      </c>
      <c r="D27" s="29">
        <v>267</v>
      </c>
      <c r="E27">
        <f>LOOKUP(D27,'++OxygenParameters++'!A:A,'++OxygenParameters++'!B:B)</f>
        <v>144.31</v>
      </c>
      <c r="F27">
        <v>0.53149999999999997</v>
      </c>
      <c r="G27">
        <v>2</v>
      </c>
      <c r="H27">
        <f t="shared" si="0"/>
        <v>0.51412499999999994</v>
      </c>
      <c r="I27">
        <f t="shared" si="1"/>
        <v>1.2000000000000004E-2</v>
      </c>
      <c r="J27" s="10">
        <f t="shared" si="2"/>
        <v>4.0578365850692846</v>
      </c>
    </row>
    <row r="28" spans="1:12" x14ac:dyDescent="0.2">
      <c r="A28" t="str">
        <f>INDEX(SampleList!A:A,MATCH(D28,SampleList!E:E,0),1)</f>
        <v>CTD-001</v>
      </c>
      <c r="B28">
        <f>INDEX(SampleList!B:B,MATCH(D28,SampleList!E:E,0),1)</f>
        <v>22</v>
      </c>
      <c r="C28">
        <f>INDEX(SampleList!D:D,MATCH(D28,SampleList!E:E,0),1)</f>
        <v>30</v>
      </c>
      <c r="D28" s="29">
        <v>268</v>
      </c>
      <c r="E28">
        <f>LOOKUP(D28,'++OxygenParameters++'!A:A,'++OxygenParameters++'!B:B)</f>
        <v>131.07</v>
      </c>
      <c r="F28">
        <v>0.63200000000000001</v>
      </c>
      <c r="G28">
        <v>2</v>
      </c>
      <c r="H28">
        <f t="shared" si="0"/>
        <v>0.51412499999999994</v>
      </c>
      <c r="I28">
        <f t="shared" si="1"/>
        <v>1.2000000000000004E-2</v>
      </c>
      <c r="J28" s="10">
        <f t="shared" si="2"/>
        <v>5.3421735419462255</v>
      </c>
    </row>
    <row r="29" spans="1:12" x14ac:dyDescent="0.2">
      <c r="A29" t="str">
        <f>INDEX(SampleList!A:A,MATCH(D29,SampleList!E:E,0),1)</f>
        <v>CTD-001</v>
      </c>
      <c r="B29">
        <f>INDEX(SampleList!B:B,MATCH(D29,SampleList!E:E,0),1)</f>
        <v>24</v>
      </c>
      <c r="C29">
        <f>INDEX(SampleList!D:D,MATCH(D29,SampleList!E:E,0),1)</f>
        <v>10</v>
      </c>
      <c r="D29" s="29">
        <v>269</v>
      </c>
      <c r="E29">
        <f>LOOKUP(D29,'++OxygenParameters++'!A:A,'++OxygenParameters++'!B:B)</f>
        <v>144.82</v>
      </c>
      <c r="F29">
        <v>0.82399999999999995</v>
      </c>
      <c r="G29">
        <v>2</v>
      </c>
      <c r="H29">
        <f t="shared" si="0"/>
        <v>0.51412499999999994</v>
      </c>
      <c r="I29">
        <f t="shared" si="1"/>
        <v>1.2000000000000004E-2</v>
      </c>
      <c r="J29" s="10">
        <f t="shared" si="2"/>
        <v>6.3266196036959164</v>
      </c>
    </row>
    <row r="30" spans="1:12" x14ac:dyDescent="0.2">
      <c r="A30" t="str">
        <f>INDEX(SampleList!A:A,MATCH(D30,SampleList!E:E,0),1)</f>
        <v>CTD-003</v>
      </c>
      <c r="B30">
        <f>INDEX(SampleList!B:B,MATCH(D30,SampleList!E:E,0),1)</f>
        <v>18</v>
      </c>
      <c r="C30">
        <f>INDEX(SampleList!D:D,MATCH(D30,SampleList!E:E,0),1)</f>
        <v>60</v>
      </c>
      <c r="D30" s="29">
        <v>271</v>
      </c>
      <c r="E30">
        <f>LOOKUP(D30,'++OxygenParameters++'!A:A,'++OxygenParameters++'!B:B)</f>
        <v>144.82</v>
      </c>
      <c r="F30">
        <v>0.83450000000000002</v>
      </c>
      <c r="G30">
        <v>2</v>
      </c>
      <c r="H30">
        <f t="shared" si="0"/>
        <v>0.51412499999999994</v>
      </c>
      <c r="I30">
        <f t="shared" si="1"/>
        <v>1.2000000000000004E-2</v>
      </c>
      <c r="J30" s="10">
        <f t="shared" si="2"/>
        <v>6.4085832592799763</v>
      </c>
    </row>
    <row r="31" spans="1:12" x14ac:dyDescent="0.2">
      <c r="A31" t="str">
        <f>INDEX(SampleList!A:A,MATCH(D31,SampleList!E:E,0),1)</f>
        <v>CTD-003</v>
      </c>
      <c r="B31">
        <f>INDEX(SampleList!B:B,MATCH(D31,SampleList!E:E,0),1)</f>
        <v>12</v>
      </c>
      <c r="C31">
        <f>INDEX(SampleList!D:D,MATCH(D31,SampleList!E:E,0),1)</f>
        <v>120</v>
      </c>
      <c r="D31" s="29">
        <v>272</v>
      </c>
      <c r="E31">
        <f>LOOKUP(D31,'++OxygenParameters++'!A:A,'++OxygenParameters++'!B:B)</f>
        <v>129.91999999999999</v>
      </c>
      <c r="F31">
        <v>0.70750000000000002</v>
      </c>
      <c r="G31">
        <v>2</v>
      </c>
      <c r="H31">
        <f t="shared" si="0"/>
        <v>0.51412499999999994</v>
      </c>
      <c r="I31">
        <f t="shared" si="1"/>
        <v>1.2000000000000004E-2</v>
      </c>
      <c r="J31" s="10">
        <f t="shared" si="2"/>
        <v>6.0482051889226893</v>
      </c>
    </row>
    <row r="32" spans="1:12" x14ac:dyDescent="0.2">
      <c r="A32" t="str">
        <f>INDEX(SampleList!A:A,MATCH(D32,SampleList!E:E,0),1)</f>
        <v>CTD-003</v>
      </c>
      <c r="B32">
        <f>INDEX(SampleList!B:B,MATCH(D32,SampleList!E:E,0),1)</f>
        <v>22</v>
      </c>
      <c r="C32">
        <f>INDEX(SampleList!D:D,MATCH(D32,SampleList!E:E,0),1)</f>
        <v>20</v>
      </c>
      <c r="D32" s="29">
        <v>273</v>
      </c>
      <c r="E32">
        <f>LOOKUP(D32,'++OxygenParameters++'!A:A,'++OxygenParameters++'!B:B)</f>
        <v>125.73</v>
      </c>
      <c r="F32">
        <v>0.64400000000000002</v>
      </c>
      <c r="G32">
        <v>2</v>
      </c>
      <c r="H32">
        <f t="shared" si="0"/>
        <v>0.51412499999999994</v>
      </c>
      <c r="I32">
        <f t="shared" si="1"/>
        <v>1.2000000000000004E-2</v>
      </c>
      <c r="J32" s="10">
        <f t="shared" si="2"/>
        <v>5.6808589760389765</v>
      </c>
    </row>
    <row r="33" spans="1:11" x14ac:dyDescent="0.2">
      <c r="A33" t="str">
        <f>INDEX(SampleList!A:A,MATCH(D33,SampleList!E:E,0),1)</f>
        <v>CTD-003</v>
      </c>
      <c r="B33">
        <f>INDEX(SampleList!B:B,MATCH(D33,SampleList!E:E,0),1)</f>
        <v>12</v>
      </c>
      <c r="C33">
        <f>INDEX(SampleList!D:D,MATCH(D33,SampleList!E:E,0),1)</f>
        <v>120</v>
      </c>
      <c r="D33" s="29">
        <v>274</v>
      </c>
      <c r="E33">
        <f>LOOKUP(D33,'++OxygenParameters++'!A:A,'++OxygenParameters++'!B:B)</f>
        <v>142.72</v>
      </c>
      <c r="F33">
        <v>0.76600000000000001</v>
      </c>
      <c r="G33">
        <v>2</v>
      </c>
      <c r="H33">
        <f t="shared" si="0"/>
        <v>0.51412499999999994</v>
      </c>
      <c r="I33">
        <f t="shared" si="1"/>
        <v>1.2000000000000004E-2</v>
      </c>
      <c r="J33" s="10">
        <f t="shared" si="2"/>
        <v>5.9615251935952145</v>
      </c>
    </row>
    <row r="34" spans="1:11" x14ac:dyDescent="0.2">
      <c r="A34" t="str">
        <f>INDEX(SampleList!A:A,MATCH(D34,SampleList!E:E,0),1)</f>
        <v>CTD-003</v>
      </c>
      <c r="B34">
        <f>INDEX(SampleList!B:B,MATCH(D34,SampleList!E:E,0),1)</f>
        <v>18</v>
      </c>
      <c r="C34">
        <f>INDEX(SampleList!D:D,MATCH(D34,SampleList!E:E,0),1)</f>
        <v>60</v>
      </c>
      <c r="D34" s="29">
        <v>275</v>
      </c>
      <c r="E34">
        <f>LOOKUP(D34,'++OxygenParameters++'!A:A,'++OxygenParameters++'!B:B)</f>
        <v>142.47</v>
      </c>
      <c r="F34">
        <v>0.81699999999999995</v>
      </c>
      <c r="G34">
        <v>2</v>
      </c>
      <c r="H34">
        <f t="shared" si="0"/>
        <v>0.51412499999999994</v>
      </c>
      <c r="I34">
        <f t="shared" si="1"/>
        <v>1.2000000000000004E-2</v>
      </c>
      <c r="J34" s="10">
        <f t="shared" si="2"/>
        <v>6.3769045272265048</v>
      </c>
    </row>
    <row r="35" spans="1:11" x14ac:dyDescent="0.2">
      <c r="A35" t="str">
        <f>INDEX(SampleList!A:A,MATCH(D35,SampleList!E:E,0),1)</f>
        <v>CTD-003</v>
      </c>
      <c r="B35">
        <f>INDEX(SampleList!B:B,MATCH(D35,SampleList!E:E,0),1)</f>
        <v>22</v>
      </c>
      <c r="C35">
        <f>INDEX(SampleList!D:D,MATCH(D35,SampleList!E:E,0),1)</f>
        <v>20</v>
      </c>
      <c r="D35" s="29">
        <v>276</v>
      </c>
      <c r="E35">
        <f>LOOKUP(D35,'++OxygenParameters++'!A:A,'++OxygenParameters++'!B:B)</f>
        <v>129.65</v>
      </c>
      <c r="F35">
        <v>0.66049999999999998</v>
      </c>
      <c r="G35">
        <v>2</v>
      </c>
      <c r="H35">
        <f t="shared" si="0"/>
        <v>0.51412499999999994</v>
      </c>
      <c r="I35">
        <f t="shared" si="1"/>
        <v>1.2000000000000004E-2</v>
      </c>
      <c r="J35" s="10">
        <f t="shared" si="2"/>
        <v>5.6505123495414749</v>
      </c>
    </row>
    <row r="36" spans="1:11" x14ac:dyDescent="0.2">
      <c r="A36" t="str">
        <f>INDEX(SampleList!A:A,MATCH(D36,SampleList!E:E,0),1)</f>
        <v>CTD-004</v>
      </c>
      <c r="B36">
        <f>INDEX(SampleList!B:B,MATCH(D36,SampleList!E:E,0),1)</f>
        <v>3</v>
      </c>
      <c r="C36">
        <f>INDEX(SampleList!D:D,MATCH(D36,SampleList!E:E,0),1)</f>
        <v>2600</v>
      </c>
      <c r="D36" s="29">
        <v>277</v>
      </c>
      <c r="E36">
        <f>LOOKUP(D36,'++OxygenParameters++'!A:A,'++OxygenParameters++'!B:B)</f>
        <v>145.35</v>
      </c>
      <c r="F36">
        <v>0.24049999999999999</v>
      </c>
      <c r="G36">
        <v>2</v>
      </c>
      <c r="H36">
        <f t="shared" si="0"/>
        <v>0.51412499999999994</v>
      </c>
      <c r="I36">
        <f t="shared" si="1"/>
        <v>1.2000000000000004E-2</v>
      </c>
      <c r="J36" s="10">
        <f t="shared" si="2"/>
        <v>1.7652314600513224</v>
      </c>
    </row>
    <row r="37" spans="1:11" x14ac:dyDescent="0.2">
      <c r="A37" t="str">
        <f>INDEX(SampleList!A:A,MATCH(D37,SampleList!E:E,0),1)</f>
        <v>CTD-004</v>
      </c>
      <c r="B37">
        <f>INDEX(SampleList!B:B,MATCH(D37,SampleList!E:E,0),1)</f>
        <v>5</v>
      </c>
      <c r="C37">
        <f>INDEX(SampleList!D:D,MATCH(D37,SampleList!E:E,0),1)</f>
        <v>2400</v>
      </c>
      <c r="D37" s="29">
        <v>278</v>
      </c>
      <c r="E37">
        <f>LOOKUP(D37,'++OxygenParameters++'!A:A,'++OxygenParameters++'!B:B)</f>
        <v>145.26</v>
      </c>
      <c r="F37">
        <v>0.224</v>
      </c>
      <c r="G37">
        <v>2</v>
      </c>
      <c r="H37">
        <f t="shared" si="0"/>
        <v>0.51412499999999994</v>
      </c>
      <c r="I37">
        <f t="shared" si="1"/>
        <v>1.2000000000000004E-2</v>
      </c>
      <c r="J37" s="10">
        <f t="shared" si="2"/>
        <v>1.6379359869097454</v>
      </c>
    </row>
    <row r="38" spans="1:11" x14ac:dyDescent="0.2">
      <c r="A38" t="str">
        <f>INDEX(SampleList!A:A,MATCH(D38,SampleList!E:E,0),1)</f>
        <v>CTD-004</v>
      </c>
      <c r="B38">
        <f>INDEX(SampleList!B:B,MATCH(D38,SampleList!E:E,0),1)</f>
        <v>8</v>
      </c>
      <c r="C38">
        <f>INDEX(SampleList!D:D,MATCH(D38,SampleList!E:E,0),1)</f>
        <v>1500</v>
      </c>
      <c r="D38" s="29">
        <v>279</v>
      </c>
      <c r="E38">
        <f>LOOKUP(D38,'++OxygenParameters++'!A:A,'++OxygenParameters++'!B:B)</f>
        <v>142.22999999999999</v>
      </c>
      <c r="F38">
        <v>9.2499999999999999E-2</v>
      </c>
      <c r="G38">
        <v>2</v>
      </c>
      <c r="H38">
        <f t="shared" si="0"/>
        <v>0.51412499999999994</v>
      </c>
      <c r="I38">
        <f t="shared" si="1"/>
        <v>1.2000000000000004E-2</v>
      </c>
      <c r="J38" s="10">
        <f t="shared" si="2"/>
        <v>0.62787119656243817</v>
      </c>
    </row>
    <row r="39" spans="1:11" x14ac:dyDescent="0.2">
      <c r="A39" t="str">
        <f>INDEX(SampleList!A:A,MATCH(D39,SampleList!E:E,0),1)</f>
        <v>CTD-004</v>
      </c>
      <c r="B39">
        <f>INDEX(SampleList!B:B,MATCH(D39,SampleList!E:E,0),1)</f>
        <v>10</v>
      </c>
      <c r="C39">
        <f>INDEX(SampleList!D:D,MATCH(D39,SampleList!E:E,0),1)</f>
        <v>1000</v>
      </c>
      <c r="D39" s="29">
        <v>280</v>
      </c>
      <c r="E39">
        <f>LOOKUP(D39,'++OxygenParameters++'!A:A,'++OxygenParameters++'!B:B)</f>
        <v>133.87</v>
      </c>
      <c r="F39">
        <v>3.4000000000000002E-2</v>
      </c>
      <c r="G39">
        <v>2</v>
      </c>
      <c r="H39">
        <f t="shared" si="0"/>
        <v>0.51412499999999994</v>
      </c>
      <c r="I39">
        <f t="shared" si="1"/>
        <v>1.2000000000000004E-2</v>
      </c>
      <c r="J39" s="10">
        <f t="shared" si="2"/>
        <v>0.17310199755988895</v>
      </c>
    </row>
    <row r="40" spans="1:11" x14ac:dyDescent="0.2">
      <c r="A40" t="str">
        <f>INDEX(SampleList!A:A,MATCH(D40,SampleList!E:E,0),1)</f>
        <v>CTD-004</v>
      </c>
      <c r="B40">
        <f>INDEX(SampleList!B:B,MATCH(D40,SampleList!E:E,0),1)</f>
        <v>13</v>
      </c>
      <c r="C40">
        <f>INDEX(SampleList!D:D,MATCH(D40,SampleList!E:E,0),1)</f>
        <v>500</v>
      </c>
      <c r="D40" s="29">
        <v>281</v>
      </c>
      <c r="E40">
        <f>LOOKUP(D40,'++OxygenParameters++'!A:A,'++OxygenParameters++'!B:B)</f>
        <v>124.09</v>
      </c>
      <c r="F40">
        <v>0.13900000000000001</v>
      </c>
      <c r="G40">
        <v>2</v>
      </c>
      <c r="H40">
        <f t="shared" si="0"/>
        <v>0.51412499999999994</v>
      </c>
      <c r="I40">
        <f t="shared" si="1"/>
        <v>1.2000000000000004E-2</v>
      </c>
      <c r="J40" s="10">
        <f t="shared" si="2"/>
        <v>1.1457732273189916</v>
      </c>
    </row>
    <row r="41" spans="1:11" x14ac:dyDescent="0.2">
      <c r="A41" t="str">
        <f>INDEX(SampleList!A:A,MATCH(D41,SampleList!E:E,0),1)</f>
        <v>CTD-004</v>
      </c>
      <c r="B41">
        <f>INDEX(SampleList!B:B,MATCH(D41,SampleList!E:E,0),1)</f>
        <v>16</v>
      </c>
      <c r="C41">
        <f>INDEX(SampleList!D:D,MATCH(D41,SampleList!E:E,0),1)</f>
        <v>200</v>
      </c>
      <c r="D41" s="29">
        <v>282</v>
      </c>
      <c r="E41">
        <f>LOOKUP(D41,'++OxygenParameters++'!A:A,'++OxygenParameters++'!B:B)</f>
        <v>131.93</v>
      </c>
      <c r="F41" s="8">
        <v>0.42549999999999999</v>
      </c>
      <c r="G41">
        <v>2</v>
      </c>
      <c r="H41">
        <f t="shared" si="0"/>
        <v>0.51412499999999994</v>
      </c>
      <c r="I41">
        <f t="shared" si="1"/>
        <v>1.2000000000000004E-2</v>
      </c>
      <c r="J41" s="10">
        <f t="shared" si="2"/>
        <v>3.5349447370035008</v>
      </c>
    </row>
    <row r="42" spans="1:11" x14ac:dyDescent="0.2">
      <c r="A42" t="str">
        <f>INDEX(SampleList!A:A,MATCH(D42,SampleList!E:E,0),1)</f>
        <v>CTD-004</v>
      </c>
      <c r="B42">
        <f>INDEX(SampleList!B:B,MATCH(D42,SampleList!E:E,0),1)</f>
        <v>18</v>
      </c>
      <c r="C42">
        <f>INDEX(SampleList!D:D,MATCH(D42,SampleList!E:E,0),1)</f>
        <v>100</v>
      </c>
      <c r="D42" s="29">
        <v>283</v>
      </c>
      <c r="E42">
        <f>LOOKUP(D42,'++OxygenParameters++'!A:A,'++OxygenParameters++'!B:B)</f>
        <v>141.51</v>
      </c>
      <c r="F42">
        <v>0.79949999999999999</v>
      </c>
      <c r="G42">
        <v>2</v>
      </c>
      <c r="H42">
        <f t="shared" si="0"/>
        <v>0.51412499999999994</v>
      </c>
      <c r="I42">
        <f t="shared" si="1"/>
        <v>1.2000000000000004E-2</v>
      </c>
      <c r="J42" s="10">
        <f t="shared" si="2"/>
        <v>6.280938260975188</v>
      </c>
      <c r="K42" t="s">
        <v>238</v>
      </c>
    </row>
    <row r="43" spans="1:11" x14ac:dyDescent="0.2">
      <c r="A43" t="str">
        <f>INDEX(SampleList!A:A,MATCH(D43,SampleList!E:E,0),1)</f>
        <v>CTD-004</v>
      </c>
      <c r="B43">
        <f>INDEX(SampleList!B:B,MATCH(D43,SampleList!E:E,0),1)</f>
        <v>22</v>
      </c>
      <c r="C43">
        <f>INDEX(SampleList!D:D,MATCH(D43,SampleList!E:E,0),1)</f>
        <v>50</v>
      </c>
      <c r="D43" s="29">
        <v>284</v>
      </c>
      <c r="E43">
        <f>LOOKUP(D43,'++OxygenParameters++'!A:A,'++OxygenParameters++'!B:B)</f>
        <v>143.55000000000001</v>
      </c>
      <c r="F43">
        <v>0.84599999999999997</v>
      </c>
      <c r="G43">
        <v>2</v>
      </c>
      <c r="H43">
        <f t="shared" si="0"/>
        <v>0.51412499999999994</v>
      </c>
      <c r="I43">
        <f t="shared" si="1"/>
        <v>1.2000000000000004E-2</v>
      </c>
      <c r="J43" s="10">
        <f t="shared" si="2"/>
        <v>6.5566568153873055</v>
      </c>
    </row>
    <row r="44" spans="1:11" x14ac:dyDescent="0.2">
      <c r="A44" t="str">
        <f>INDEX(SampleList!A:A,MATCH(D44,SampleList!E:E,0),1)</f>
        <v>CTD-006</v>
      </c>
      <c r="B44">
        <f>INDEX(SampleList!B:B,MATCH(D44,SampleList!E:E,0),1)</f>
        <v>12</v>
      </c>
      <c r="C44">
        <f>INDEX(SampleList!D:D,MATCH(D44,SampleList!E:E,0),1)</f>
        <v>120</v>
      </c>
      <c r="D44" s="29">
        <v>285</v>
      </c>
      <c r="E44">
        <f>LOOKUP(D44,'++OxygenParameters++'!A:A,'++OxygenParameters++'!B:B)</f>
        <v>144.56</v>
      </c>
      <c r="F44">
        <v>0.33800000000000002</v>
      </c>
      <c r="G44">
        <v>2</v>
      </c>
      <c r="H44">
        <f t="shared" si="0"/>
        <v>0.51412499999999994</v>
      </c>
      <c r="I44">
        <f t="shared" si="1"/>
        <v>1.2000000000000004E-2</v>
      </c>
      <c r="J44" s="10">
        <f t="shared" si="2"/>
        <v>2.5374926972823424</v>
      </c>
    </row>
    <row r="45" spans="1:11" x14ac:dyDescent="0.2">
      <c r="A45" t="str">
        <f>INDEX(SampleList!A:A,MATCH(D45,SampleList!E:E,0),1)</f>
        <v>CTD-006</v>
      </c>
      <c r="B45">
        <f>INDEX(SampleList!B:B,MATCH(D45,SampleList!E:E,0),1)</f>
        <v>17</v>
      </c>
      <c r="C45">
        <f>INDEX(SampleList!D:D,MATCH(D45,SampleList!E:E,0),1)</f>
        <v>60</v>
      </c>
      <c r="D45" s="29">
        <v>286</v>
      </c>
      <c r="E45">
        <f>LOOKUP(D45,'++OxygenParameters++'!A:A,'++OxygenParameters++'!B:B)</f>
        <v>145.25</v>
      </c>
      <c r="F45">
        <v>0.62649999999999995</v>
      </c>
      <c r="G45">
        <v>2</v>
      </c>
      <c r="H45">
        <f t="shared" si="0"/>
        <v>0.51412499999999994</v>
      </c>
      <c r="I45">
        <f t="shared" si="1"/>
        <v>1.2000000000000004E-2</v>
      </c>
      <c r="J45" s="10">
        <f t="shared" si="2"/>
        <v>4.7705591550048423</v>
      </c>
    </row>
    <row r="46" spans="1:11" x14ac:dyDescent="0.2">
      <c r="A46" t="str">
        <f>INDEX(SampleList!A:A,MATCH(D46,SampleList!E:E,0),1)</f>
        <v>CTD-006</v>
      </c>
      <c r="B46">
        <f>INDEX(SampleList!B:B,MATCH(D46,SampleList!E:E,0),1)</f>
        <v>21</v>
      </c>
      <c r="C46">
        <f>INDEX(SampleList!D:D,MATCH(D46,SampleList!E:E,0),1)</f>
        <v>20</v>
      </c>
      <c r="D46" s="29">
        <v>287</v>
      </c>
      <c r="E46">
        <f>LOOKUP(D46,'++OxygenParameters++'!A:A,'++OxygenParameters++'!B:B)</f>
        <v>133.37</v>
      </c>
      <c r="F46" s="8">
        <v>0.74050000000000005</v>
      </c>
      <c r="G46">
        <v>2</v>
      </c>
      <c r="H46">
        <f t="shared" si="0"/>
        <v>0.51412499999999994</v>
      </c>
      <c r="I46">
        <f t="shared" si="1"/>
        <v>1.2000000000000004E-2</v>
      </c>
      <c r="J46" s="10">
        <f t="shared" si="2"/>
        <v>6.169421088485378</v>
      </c>
    </row>
    <row r="47" spans="1:11" x14ac:dyDescent="0.2">
      <c r="A47" t="str">
        <f>INDEX(SampleList!A:A,MATCH(D47,SampleList!E:E,0),1)</f>
        <v>CTD-006</v>
      </c>
      <c r="B47">
        <f>INDEX(SampleList!B:B,MATCH(D47,SampleList!E:E,0),1)</f>
        <v>18</v>
      </c>
      <c r="C47">
        <f>INDEX(SampleList!D:D,MATCH(D47,SampleList!E:E,0),1)</f>
        <v>60</v>
      </c>
      <c r="D47" s="29">
        <v>288</v>
      </c>
      <c r="E47">
        <f>LOOKUP(D47,'++OxygenParameters++'!A:A,'++OxygenParameters++'!B:B)</f>
        <v>144.16</v>
      </c>
      <c r="F47">
        <v>0.61099999999999999</v>
      </c>
      <c r="G47">
        <v>2</v>
      </c>
      <c r="H47">
        <f t="shared" si="0"/>
        <v>0.51412499999999994</v>
      </c>
      <c r="I47">
        <f t="shared" si="1"/>
        <v>1.2000000000000004E-2</v>
      </c>
      <c r="J47" s="10">
        <f t="shared" si="2"/>
        <v>4.685581320188299</v>
      </c>
    </row>
    <row r="48" spans="1:11" x14ac:dyDescent="0.2">
      <c r="A48" t="str">
        <f>INDEX(SampleList!A:A,MATCH(D48,SampleList!E:E,0),1)</f>
        <v>CTD-010</v>
      </c>
      <c r="B48">
        <f>INDEX(SampleList!B:B,MATCH(D48,SampleList!E:E,0),1)</f>
        <v>6</v>
      </c>
      <c r="C48">
        <f>INDEX(SampleList!D:D,MATCH(D48,SampleList!E:E,0),1)</f>
        <v>500</v>
      </c>
      <c r="D48" s="29" t="str">
        <v>132A</v>
      </c>
      <c r="E48">
        <f>LOOKUP(D48,'++OxygenParameters++'!A:A,'++OxygenParameters++'!B:B)</f>
        <v>140.35</v>
      </c>
      <c r="F48">
        <v>8.2000000000000003E-2</v>
      </c>
      <c r="G48">
        <v>1</v>
      </c>
      <c r="H48">
        <f t="shared" si="0"/>
        <v>0.504</v>
      </c>
      <c r="I48">
        <f t="shared" si="1"/>
        <v>2.5000000000000022E-3</v>
      </c>
      <c r="J48" s="10">
        <f t="shared" si="2"/>
        <v>0.62914328932249153</v>
      </c>
    </row>
    <row r="49" spans="1:10" x14ac:dyDescent="0.2">
      <c r="A49" t="str">
        <f>INDEX(SampleList!A:A,MATCH(D49,SampleList!E:E,0),1)</f>
        <v>CTD-001</v>
      </c>
      <c r="B49">
        <f>INDEX(SampleList!B:B,MATCH(D49,SampleList!E:E,0),1)</f>
        <v>16</v>
      </c>
      <c r="C49">
        <f>INDEX(SampleList!D:D,MATCH(D49,SampleList!E:E,0),1)</f>
        <v>200</v>
      </c>
      <c r="D49" s="29" t="str">
        <v>265A</v>
      </c>
      <c r="E49">
        <f>LOOKUP(D49,'++OxygenParameters++'!A:A,'++OxygenParameters++'!B:B)</f>
        <v>142.94</v>
      </c>
      <c r="F49">
        <v>0.29949999999999999</v>
      </c>
      <c r="G49">
        <v>2</v>
      </c>
      <c r="H49">
        <f t="shared" si="0"/>
        <v>0.51412499999999994</v>
      </c>
      <c r="I49">
        <f t="shared" si="1"/>
        <v>1.2000000000000004E-2</v>
      </c>
      <c r="J49" s="10">
        <f t="shared" si="2"/>
        <v>2.2621170582707615</v>
      </c>
    </row>
    <row r="50" spans="1:10" x14ac:dyDescent="0.2">
      <c r="A50" t="str">
        <f>INDEX(SampleList!A:A,MATCH(D50,SampleList!E:E,0),1)</f>
        <v>CTD-006</v>
      </c>
      <c r="B50">
        <f>INDEX(SampleList!B:B,MATCH(D50,SampleList!E:E,0),1)</f>
        <v>11</v>
      </c>
      <c r="C50">
        <f>INDEX(SampleList!D:D,MATCH(D50,SampleList!E:E,0),1)</f>
        <v>120</v>
      </c>
      <c r="D50" s="29" t="str">
        <v>270A</v>
      </c>
      <c r="E50">
        <f>LOOKUP(D50,'++OxygenParameters++'!A:A,'++OxygenParameters++'!B:B)</f>
        <v>136.12</v>
      </c>
      <c r="F50">
        <v>0.32250000000000001</v>
      </c>
      <c r="G50">
        <v>2</v>
      </c>
      <c r="H50">
        <f t="shared" si="0"/>
        <v>0.51412499999999994</v>
      </c>
      <c r="I50">
        <f t="shared" si="1"/>
        <v>1.2000000000000004E-2</v>
      </c>
      <c r="J50" s="10">
        <f t="shared" si="2"/>
        <v>2.5683313484051271</v>
      </c>
    </row>
  </sheetData>
  <mergeCells count="28">
    <mergeCell ref="I8:I9"/>
    <mergeCell ref="H8:H9"/>
    <mergeCell ref="V1:V2"/>
    <mergeCell ref="U1:U2"/>
    <mergeCell ref="M1:M2"/>
    <mergeCell ref="N1:N2"/>
    <mergeCell ref="O1:O2"/>
    <mergeCell ref="P1:P2"/>
    <mergeCell ref="Q1:Q2"/>
    <mergeCell ref="R1:R2"/>
    <mergeCell ref="S1:S2"/>
    <mergeCell ref="T1:T2"/>
    <mergeCell ref="A1:G1"/>
    <mergeCell ref="A2:B2"/>
    <mergeCell ref="C2:G2"/>
    <mergeCell ref="K8:K9"/>
    <mergeCell ref="A6:B6"/>
    <mergeCell ref="C6:G6"/>
    <mergeCell ref="A8:A9"/>
    <mergeCell ref="B8:B9"/>
    <mergeCell ref="C8:C9"/>
    <mergeCell ref="D8:D9"/>
    <mergeCell ref="E8:E9"/>
    <mergeCell ref="F8:F9"/>
    <mergeCell ref="G8:G9"/>
    <mergeCell ref="J8:J9"/>
    <mergeCell ref="A3:B3"/>
    <mergeCell ref="A4:B4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8F6E70-CF5E-D847-A904-563938BA5D4E}">
          <x14:formula1>
            <xm:f>CastList!$A$2</xm:f>
          </x14:formula1>
          <xm:sqref>C2:I2</xm:sqref>
        </x14:dataValidation>
        <x14:dataValidation type="list" allowBlank="1" showInputMessage="1" showErrorMessage="1" xr:uid="{067D8A04-7E29-8240-9B73-096AA88F1C02}">
          <x14:formula1>
            <xm:f>'++OxygenParameters++'!$F$2</xm:f>
          </x14:formula1>
          <xm:sqref>C3</xm:sqref>
        </x14:dataValidation>
        <x14:dataValidation type="list" allowBlank="1" showInputMessage="1" showErrorMessage="1" xr:uid="{530F3C4D-BCDC-704C-9459-396ECC5767E3}">
          <x14:formula1>
            <xm:f>'++OxygenParameters++'!$E$2</xm:f>
          </x14:formula1>
          <xm:sqref>C4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8B18C-317A-DA47-9956-9141F0F25EE7}">
  <sheetPr codeName="Sheet13">
    <tabColor rgb="FF00B050"/>
  </sheetPr>
  <dimension ref="A1:I48"/>
  <sheetViews>
    <sheetView workbookViewId="0">
      <selection activeCell="E8" sqref="E8:E9"/>
    </sheetView>
  </sheetViews>
  <sheetFormatPr baseColWidth="10" defaultRowHeight="16" x14ac:dyDescent="0.2"/>
  <cols>
    <col min="1" max="3" width="9.83203125" customWidth="1"/>
    <col min="4" max="4" width="23.33203125" bestFit="1" customWidth="1"/>
    <col min="5" max="7" width="9.83203125" customWidth="1"/>
    <col min="8" max="8" width="11.33203125" customWidth="1"/>
    <col min="9" max="9" width="20.33203125" customWidth="1"/>
  </cols>
  <sheetData>
    <row r="1" spans="1:9" ht="17" customHeight="1" x14ac:dyDescent="0.2">
      <c r="A1" s="33" t="s">
        <v>13</v>
      </c>
      <c r="B1" s="33"/>
      <c r="C1" s="33"/>
      <c r="D1" s="33"/>
      <c r="E1" s="33"/>
      <c r="F1" s="33"/>
      <c r="G1" s="33"/>
      <c r="H1" s="33"/>
    </row>
    <row r="2" spans="1:9" x14ac:dyDescent="0.2">
      <c r="A2" s="34" t="s">
        <v>2</v>
      </c>
      <c r="B2" s="34"/>
      <c r="C2" s="54" t="s">
        <v>103</v>
      </c>
      <c r="D2" s="54"/>
      <c r="E2" s="54"/>
      <c r="F2" s="54"/>
      <c r="G2" s="54"/>
      <c r="H2" s="54"/>
    </row>
    <row r="3" spans="1:9" s="1" customFormat="1" x14ac:dyDescent="0.2">
      <c r="A3" s="53"/>
      <c r="B3" s="53"/>
      <c r="C3" s="54"/>
      <c r="D3" s="54"/>
      <c r="E3" s="54"/>
      <c r="F3" s="54"/>
      <c r="G3" s="54"/>
      <c r="H3" s="54"/>
    </row>
    <row r="4" spans="1:9" s="1" customFormat="1" x14ac:dyDescent="0.2">
      <c r="A4" s="53"/>
      <c r="B4" s="53"/>
      <c r="C4" s="54"/>
      <c r="D4" s="54"/>
      <c r="E4" s="54"/>
      <c r="F4" s="54"/>
      <c r="G4" s="54"/>
      <c r="H4" s="54"/>
    </row>
    <row r="5" spans="1:9" s="1" customFormat="1" ht="13" customHeight="1" x14ac:dyDescent="0.2">
      <c r="A5" s="27"/>
      <c r="B5" s="27"/>
    </row>
    <row r="6" spans="1:9" x14ac:dyDescent="0.2">
      <c r="A6" s="37" t="s">
        <v>5</v>
      </c>
      <c r="B6" s="37"/>
      <c r="C6" s="35"/>
      <c r="D6" s="35"/>
      <c r="E6" s="35"/>
      <c r="F6" s="35"/>
      <c r="G6" s="35"/>
      <c r="H6" s="35"/>
    </row>
    <row r="7" spans="1:9" ht="13" customHeight="1" x14ac:dyDescent="0.2"/>
    <row r="8" spans="1:9" ht="13" customHeight="1" x14ac:dyDescent="0.2">
      <c r="A8" s="38" t="s">
        <v>6</v>
      </c>
      <c r="B8" s="38" t="s">
        <v>8</v>
      </c>
      <c r="C8" s="38" t="s">
        <v>7</v>
      </c>
      <c r="D8" s="41" t="s">
        <v>1</v>
      </c>
      <c r="E8" s="40" t="s">
        <v>12</v>
      </c>
      <c r="F8" s="55" t="s">
        <v>10</v>
      </c>
      <c r="G8" s="41" t="s">
        <v>14</v>
      </c>
      <c r="H8" s="43" t="s">
        <v>11</v>
      </c>
      <c r="I8" s="36" t="s">
        <v>0</v>
      </c>
    </row>
    <row r="9" spans="1:9" ht="15" customHeight="1" x14ac:dyDescent="0.2">
      <c r="A9" s="38"/>
      <c r="B9" s="38"/>
      <c r="C9" s="38"/>
      <c r="D9" s="42"/>
      <c r="E9" s="40"/>
      <c r="F9" s="55"/>
      <c r="G9" s="42"/>
      <c r="H9" s="44"/>
      <c r="I9" s="36"/>
    </row>
    <row r="10" spans="1:9" x14ac:dyDescent="0.2">
      <c r="A10" t="str">
        <f>LOOKUP(E10,SampleList!Z:Z,SampleList!A:A)</f>
        <v>CTD-003</v>
      </c>
      <c r="B10">
        <f>LOOKUP(E10,SampleList!Z:Z,SampleList!B:B)</f>
        <v>14</v>
      </c>
      <c r="C10">
        <f>LOOKUP(E10,SampleList!Z:Z,SampleList!D:D)</f>
        <v>100</v>
      </c>
      <c r="D10" t="s">
        <v>189</v>
      </c>
      <c r="E10" cm="1">
        <f t="array" ref="E10:E39">_xlfn._xlws.SORT(_xlfn.UNIQUE(_xlfn._xlws.FILTER((SampleList!Z2:INDEX(SampleList!Z:Z, ROWS(SampleList!Z:Z))),(SampleList!Z2:INDEX(SampleList!Z:Z, ROWS(SampleList!Z:Z)))&lt;&gt;"")))</f>
        <v>1</v>
      </c>
      <c r="F10">
        <v>500</v>
      </c>
      <c r="G10">
        <v>10</v>
      </c>
      <c r="H10">
        <v>6000</v>
      </c>
    </row>
    <row r="11" spans="1:9" x14ac:dyDescent="0.2">
      <c r="A11" t="str">
        <f>LOOKUP(E11,SampleList!Z:Z,SampleList!A:A)</f>
        <v>CTD-003</v>
      </c>
      <c r="B11">
        <f>LOOKUP(E11,SampleList!Z:Z,SampleList!B:B)</f>
        <v>16</v>
      </c>
      <c r="C11">
        <f>LOOKUP(E11,SampleList!Z:Z,SampleList!D:D)</f>
        <v>80</v>
      </c>
      <c r="D11" t="s">
        <v>190</v>
      </c>
      <c r="E11">
        <v>2</v>
      </c>
      <c r="F11">
        <v>500</v>
      </c>
      <c r="G11">
        <v>10</v>
      </c>
      <c r="H11">
        <v>6001</v>
      </c>
    </row>
    <row r="12" spans="1:9" x14ac:dyDescent="0.2">
      <c r="A12" t="str">
        <f>LOOKUP(E12,SampleList!Z:Z,SampleList!A:A)</f>
        <v>CTD-003</v>
      </c>
      <c r="B12">
        <f>LOOKUP(E12,SampleList!Z:Z,SampleList!B:B)</f>
        <v>18</v>
      </c>
      <c r="C12">
        <f>LOOKUP(E12,SampleList!Z:Z,SampleList!D:D)</f>
        <v>60</v>
      </c>
      <c r="D12" t="s">
        <v>191</v>
      </c>
      <c r="E12">
        <v>3</v>
      </c>
      <c r="F12">
        <v>500</v>
      </c>
      <c r="G12">
        <v>10</v>
      </c>
      <c r="H12">
        <v>6002</v>
      </c>
    </row>
    <row r="13" spans="1:9" x14ac:dyDescent="0.2">
      <c r="A13" t="str">
        <f>LOOKUP(E13,SampleList!Z:Z,SampleList!A:A)</f>
        <v>CTD-003</v>
      </c>
      <c r="B13">
        <f>LOOKUP(E13,SampleList!Z:Z,SampleList!B:B)</f>
        <v>20</v>
      </c>
      <c r="C13">
        <f>LOOKUP(E13,SampleList!Z:Z,SampleList!D:D)</f>
        <v>40</v>
      </c>
      <c r="D13" t="s">
        <v>192</v>
      </c>
      <c r="E13">
        <v>4</v>
      </c>
      <c r="F13">
        <v>500</v>
      </c>
      <c r="G13">
        <v>10</v>
      </c>
      <c r="H13">
        <v>6003</v>
      </c>
    </row>
    <row r="14" spans="1:9" x14ac:dyDescent="0.2">
      <c r="A14" t="str">
        <f>LOOKUP(E14,SampleList!Z:Z,SampleList!A:A)</f>
        <v>CTD-003</v>
      </c>
      <c r="B14">
        <f>LOOKUP(E14,SampleList!Z:Z,SampleList!B:B)</f>
        <v>22</v>
      </c>
      <c r="C14">
        <f>LOOKUP(E14,SampleList!Z:Z,SampleList!D:D)</f>
        <v>20</v>
      </c>
      <c r="D14" t="s">
        <v>193</v>
      </c>
      <c r="E14">
        <v>5</v>
      </c>
      <c r="F14">
        <v>500</v>
      </c>
      <c r="G14">
        <v>10</v>
      </c>
      <c r="H14">
        <v>6004</v>
      </c>
    </row>
    <row r="15" spans="1:9" x14ac:dyDescent="0.2">
      <c r="A15" t="str">
        <f>LOOKUP(E15,SampleList!Z:Z,SampleList!A:A)</f>
        <v>CTD-003</v>
      </c>
      <c r="B15">
        <f>LOOKUP(E15,SampleList!Z:Z,SampleList!B:B)</f>
        <v>24</v>
      </c>
      <c r="C15">
        <f>LOOKUP(E15,SampleList!Z:Z,SampleList!D:D)</f>
        <v>10</v>
      </c>
      <c r="D15" t="s">
        <v>194</v>
      </c>
      <c r="E15">
        <v>6</v>
      </c>
      <c r="F15">
        <v>500</v>
      </c>
      <c r="G15">
        <v>10</v>
      </c>
      <c r="H15">
        <v>6005</v>
      </c>
    </row>
    <row r="16" spans="1:9" x14ac:dyDescent="0.2">
      <c r="A16" t="str">
        <f>LOOKUP(E16,SampleList!Z:Z,SampleList!A:A)</f>
        <v>CTD-004</v>
      </c>
      <c r="B16">
        <f>LOOKUP(E16,SampleList!Z:Z,SampleList!B:B)</f>
        <v>3</v>
      </c>
      <c r="C16">
        <f>LOOKUP(E16,SampleList!Z:Z,SampleList!D:D)</f>
        <v>2600</v>
      </c>
      <c r="D16" t="s">
        <v>195</v>
      </c>
      <c r="E16">
        <v>7</v>
      </c>
      <c r="F16">
        <v>500</v>
      </c>
      <c r="G16">
        <v>10</v>
      </c>
      <c r="H16">
        <v>6006</v>
      </c>
    </row>
    <row r="17" spans="1:8" x14ac:dyDescent="0.2">
      <c r="A17" t="str">
        <f>LOOKUP(E17,SampleList!Z:Z,SampleList!A:A)</f>
        <v>CTD-004</v>
      </c>
      <c r="B17">
        <f>LOOKUP(E17,SampleList!Z:Z,SampleList!B:B)</f>
        <v>8</v>
      </c>
      <c r="C17">
        <f>LOOKUP(E17,SampleList!Z:Z,SampleList!D:D)</f>
        <v>1500</v>
      </c>
      <c r="D17" t="s">
        <v>196</v>
      </c>
      <c r="E17">
        <v>8</v>
      </c>
      <c r="F17">
        <v>500</v>
      </c>
      <c r="G17">
        <v>10</v>
      </c>
      <c r="H17">
        <v>6007</v>
      </c>
    </row>
    <row r="18" spans="1:8" x14ac:dyDescent="0.2">
      <c r="A18" t="str">
        <f>LOOKUP(E18,SampleList!Z:Z,SampleList!A:A)</f>
        <v>CTD-004</v>
      </c>
      <c r="B18">
        <f>LOOKUP(E18,SampleList!Z:Z,SampleList!B:B)</f>
        <v>16</v>
      </c>
      <c r="C18">
        <f>LOOKUP(E18,SampleList!Z:Z,SampleList!D:D)</f>
        <v>200</v>
      </c>
      <c r="D18" t="s">
        <v>197</v>
      </c>
      <c r="E18">
        <v>9</v>
      </c>
      <c r="F18">
        <v>500</v>
      </c>
      <c r="G18">
        <v>10</v>
      </c>
      <c r="H18">
        <v>6008</v>
      </c>
    </row>
    <row r="19" spans="1:8" x14ac:dyDescent="0.2">
      <c r="A19" t="str">
        <f>LOOKUP(E19,SampleList!Z:Z,SampleList!A:A)</f>
        <v>CTD-004</v>
      </c>
      <c r="B19">
        <f>LOOKUP(E19,SampleList!Z:Z,SampleList!B:B)</f>
        <v>20</v>
      </c>
      <c r="C19">
        <f>LOOKUP(E19,SampleList!Z:Z,SampleList!D:D)</f>
        <v>75</v>
      </c>
      <c r="D19" t="s">
        <v>198</v>
      </c>
      <c r="E19">
        <v>10</v>
      </c>
      <c r="F19">
        <v>500</v>
      </c>
      <c r="G19">
        <v>10</v>
      </c>
      <c r="H19">
        <v>6009</v>
      </c>
    </row>
    <row r="20" spans="1:8" x14ac:dyDescent="0.2">
      <c r="A20" t="str">
        <f>LOOKUP(E20,SampleList!Z:Z,SampleList!A:A)</f>
        <v>CTD-004</v>
      </c>
      <c r="B20">
        <f>LOOKUP(E20,SampleList!Z:Z,SampleList!B:B)</f>
        <v>22</v>
      </c>
      <c r="C20">
        <f>LOOKUP(E20,SampleList!Z:Z,SampleList!D:D)</f>
        <v>50</v>
      </c>
      <c r="D20" t="s">
        <v>199</v>
      </c>
      <c r="E20">
        <v>11</v>
      </c>
      <c r="F20">
        <v>500</v>
      </c>
      <c r="G20">
        <v>10</v>
      </c>
      <c r="H20">
        <v>6010</v>
      </c>
    </row>
    <row r="21" spans="1:8" x14ac:dyDescent="0.2">
      <c r="A21" t="str">
        <f>LOOKUP(E21,SampleList!Z:Z,SampleList!A:A)</f>
        <v>CTD-004</v>
      </c>
      <c r="B21">
        <f>LOOKUP(E21,SampleList!Z:Z,SampleList!B:B)</f>
        <v>24</v>
      </c>
      <c r="C21">
        <f>LOOKUP(E21,SampleList!Z:Z,SampleList!D:D)</f>
        <v>10</v>
      </c>
      <c r="D21" t="s">
        <v>201</v>
      </c>
      <c r="E21">
        <v>12</v>
      </c>
      <c r="F21">
        <v>500</v>
      </c>
      <c r="G21">
        <v>10</v>
      </c>
      <c r="H21">
        <v>6011</v>
      </c>
    </row>
    <row r="22" spans="1:8" x14ac:dyDescent="0.2">
      <c r="A22" t="str">
        <f>LOOKUP(E22,SampleList!Z:Z,SampleList!A:A)</f>
        <v>CTD-006</v>
      </c>
      <c r="B22">
        <f>LOOKUP(E22,SampleList!Z:Z,SampleList!B:B)</f>
        <v>14</v>
      </c>
      <c r="C22">
        <f>LOOKUP(E22,SampleList!Z:Z,SampleList!D:D)</f>
        <v>100</v>
      </c>
      <c r="D22" t="s">
        <v>200</v>
      </c>
      <c r="E22">
        <v>13</v>
      </c>
      <c r="F22">
        <v>500</v>
      </c>
      <c r="G22">
        <v>10</v>
      </c>
      <c r="H22">
        <v>6012</v>
      </c>
    </row>
    <row r="23" spans="1:8" x14ac:dyDescent="0.2">
      <c r="A23" t="str">
        <f>LOOKUP(E23,SampleList!Z:Z,SampleList!A:A)</f>
        <v>CTD-006</v>
      </c>
      <c r="B23">
        <f>LOOKUP(E23,SampleList!Z:Z,SampleList!B:B)</f>
        <v>16</v>
      </c>
      <c r="C23">
        <f>LOOKUP(E23,SampleList!Z:Z,SampleList!D:D)</f>
        <v>80</v>
      </c>
      <c r="D23" t="s">
        <v>202</v>
      </c>
      <c r="E23">
        <v>14</v>
      </c>
      <c r="F23">
        <v>500</v>
      </c>
      <c r="G23">
        <v>10</v>
      </c>
      <c r="H23">
        <v>6013</v>
      </c>
    </row>
    <row r="24" spans="1:8" x14ac:dyDescent="0.2">
      <c r="A24" t="str">
        <f>LOOKUP(E24,SampleList!Z:Z,SampleList!A:A)</f>
        <v>CTD-006</v>
      </c>
      <c r="B24">
        <f>LOOKUP(E24,SampleList!Z:Z,SampleList!B:B)</f>
        <v>18</v>
      </c>
      <c r="C24">
        <f>LOOKUP(E24,SampleList!Z:Z,SampleList!D:D)</f>
        <v>60</v>
      </c>
      <c r="D24" t="s">
        <v>203</v>
      </c>
      <c r="E24">
        <v>15</v>
      </c>
      <c r="F24">
        <v>500</v>
      </c>
      <c r="G24">
        <v>10</v>
      </c>
      <c r="H24">
        <v>6014</v>
      </c>
    </row>
    <row r="25" spans="1:8" x14ac:dyDescent="0.2">
      <c r="A25" t="str">
        <f>LOOKUP(E25,SampleList!Z:Z,SampleList!A:A)</f>
        <v>CTD-006</v>
      </c>
      <c r="B25">
        <f>LOOKUP(E25,SampleList!Z:Z,SampleList!B:B)</f>
        <v>20</v>
      </c>
      <c r="C25">
        <f>LOOKUP(E25,SampleList!Z:Z,SampleList!D:D)</f>
        <v>40</v>
      </c>
      <c r="D25" t="s">
        <v>204</v>
      </c>
      <c r="E25">
        <v>16</v>
      </c>
      <c r="F25">
        <v>500</v>
      </c>
      <c r="G25">
        <v>10</v>
      </c>
      <c r="H25">
        <v>6015</v>
      </c>
    </row>
    <row r="26" spans="1:8" x14ac:dyDescent="0.2">
      <c r="A26" t="str">
        <f>LOOKUP(E26,SampleList!Z:Z,SampleList!A:A)</f>
        <v>CTD-006</v>
      </c>
      <c r="B26">
        <f>LOOKUP(E26,SampleList!Z:Z,SampleList!B:B)</f>
        <v>22</v>
      </c>
      <c r="C26">
        <f>LOOKUP(E26,SampleList!Z:Z,SampleList!D:D)</f>
        <v>20</v>
      </c>
      <c r="D26" t="s">
        <v>205</v>
      </c>
      <c r="E26">
        <v>17</v>
      </c>
      <c r="F26">
        <v>500</v>
      </c>
      <c r="G26">
        <v>10</v>
      </c>
      <c r="H26">
        <v>6016</v>
      </c>
    </row>
    <row r="27" spans="1:8" x14ac:dyDescent="0.2">
      <c r="A27" t="str">
        <f>LOOKUP(E27,SampleList!Z:Z,SampleList!A:A)</f>
        <v>CTD-006</v>
      </c>
      <c r="B27">
        <f>LOOKUP(E27,SampleList!Z:Z,SampleList!B:B)</f>
        <v>23</v>
      </c>
      <c r="C27">
        <f>LOOKUP(E27,SampleList!Z:Z,SampleList!D:D)</f>
        <v>10</v>
      </c>
      <c r="D27" t="s">
        <v>206</v>
      </c>
      <c r="E27">
        <v>18</v>
      </c>
      <c r="F27">
        <v>500</v>
      </c>
      <c r="G27">
        <v>10</v>
      </c>
      <c r="H27">
        <v>6017</v>
      </c>
    </row>
    <row r="28" spans="1:8" x14ac:dyDescent="0.2">
      <c r="A28" t="str">
        <f>LOOKUP(E28,SampleList!Z:Z,SampleList!A:A)</f>
        <v>CTD-009</v>
      </c>
      <c r="B28">
        <f>LOOKUP(E28,SampleList!Z:Z,SampleList!B:B)</f>
        <v>14</v>
      </c>
      <c r="C28">
        <f>LOOKUP(E28,SampleList!Z:Z,SampleList!D:D)</f>
        <v>100</v>
      </c>
      <c r="D28" t="s">
        <v>207</v>
      </c>
      <c r="E28">
        <v>20</v>
      </c>
      <c r="F28">
        <v>500</v>
      </c>
      <c r="G28">
        <v>10</v>
      </c>
      <c r="H28">
        <v>6018</v>
      </c>
    </row>
    <row r="29" spans="1:8" x14ac:dyDescent="0.2">
      <c r="A29" t="str">
        <f>LOOKUP(E29,SampleList!Z:Z,SampleList!A:A)</f>
        <v>CTD-009</v>
      </c>
      <c r="B29">
        <f>LOOKUP(E29,SampleList!Z:Z,SampleList!B:B)</f>
        <v>16</v>
      </c>
      <c r="C29">
        <f>LOOKUP(E29,SampleList!Z:Z,SampleList!D:D)</f>
        <v>80</v>
      </c>
      <c r="D29" t="s">
        <v>208</v>
      </c>
      <c r="E29">
        <v>21</v>
      </c>
      <c r="F29">
        <v>500</v>
      </c>
      <c r="G29">
        <v>10</v>
      </c>
      <c r="H29">
        <v>6019</v>
      </c>
    </row>
    <row r="30" spans="1:8" x14ac:dyDescent="0.2">
      <c r="A30" t="str">
        <f>LOOKUP(E30,SampleList!Z:Z,SampleList!A:A)</f>
        <v>CTD-009</v>
      </c>
      <c r="B30">
        <f>LOOKUP(E30,SampleList!Z:Z,SampleList!B:B)</f>
        <v>18</v>
      </c>
      <c r="C30">
        <f>LOOKUP(E30,SampleList!Z:Z,SampleList!D:D)</f>
        <v>60</v>
      </c>
      <c r="D30" t="s">
        <v>209</v>
      </c>
      <c r="E30">
        <v>22</v>
      </c>
      <c r="F30">
        <v>500</v>
      </c>
      <c r="G30">
        <v>10</v>
      </c>
      <c r="H30">
        <v>6020</v>
      </c>
    </row>
    <row r="31" spans="1:8" x14ac:dyDescent="0.2">
      <c r="A31" t="str">
        <f>LOOKUP(E31,SampleList!Z:Z,SampleList!A:A)</f>
        <v>CTD-009</v>
      </c>
      <c r="B31">
        <f>LOOKUP(E31,SampleList!Z:Z,SampleList!B:B)</f>
        <v>20</v>
      </c>
      <c r="C31">
        <f>LOOKUP(E31,SampleList!Z:Z,SampleList!D:D)</f>
        <v>40</v>
      </c>
      <c r="D31" t="s">
        <v>210</v>
      </c>
      <c r="E31">
        <v>23</v>
      </c>
      <c r="F31">
        <v>500</v>
      </c>
      <c r="G31">
        <v>10</v>
      </c>
      <c r="H31">
        <v>6021</v>
      </c>
    </row>
    <row r="32" spans="1:8" x14ac:dyDescent="0.2">
      <c r="A32" t="str">
        <f>LOOKUP(E32,SampleList!Z:Z,SampleList!A:A)</f>
        <v>CTD-009</v>
      </c>
      <c r="B32">
        <f>LOOKUP(E32,SampleList!Z:Z,SampleList!B:B)</f>
        <v>22</v>
      </c>
      <c r="C32">
        <f>LOOKUP(E32,SampleList!Z:Z,SampleList!D:D)</f>
        <v>20</v>
      </c>
      <c r="D32" t="s">
        <v>211</v>
      </c>
      <c r="E32">
        <v>24</v>
      </c>
      <c r="F32">
        <v>500</v>
      </c>
      <c r="G32">
        <v>10</v>
      </c>
      <c r="H32">
        <v>6022</v>
      </c>
    </row>
    <row r="33" spans="1:8" x14ac:dyDescent="0.2">
      <c r="A33" t="str">
        <f>LOOKUP(E33,SampleList!Z:Z,SampleList!A:A)</f>
        <v>CTD-009</v>
      </c>
      <c r="B33">
        <f>LOOKUP(E33,SampleList!Z:Z,SampleList!B:B)</f>
        <v>24</v>
      </c>
      <c r="C33">
        <f>LOOKUP(E33,SampleList!Z:Z,SampleList!D:D)</f>
        <v>10</v>
      </c>
      <c r="D33" t="s">
        <v>212</v>
      </c>
      <c r="E33">
        <v>25</v>
      </c>
      <c r="F33">
        <v>500</v>
      </c>
      <c r="G33">
        <v>10</v>
      </c>
      <c r="H33">
        <v>6023</v>
      </c>
    </row>
    <row r="34" spans="1:8" x14ac:dyDescent="0.2">
      <c r="A34" t="str">
        <f>LOOKUP(E34,SampleList!Z:Z,SampleList!A:A)</f>
        <v>CTD-010</v>
      </c>
      <c r="B34">
        <f>LOOKUP(E34,SampleList!Z:Z,SampleList!B:B)</f>
        <v>2</v>
      </c>
      <c r="C34">
        <f>LOOKUP(E34,SampleList!Z:Z,SampleList!D:D)</f>
        <v>575</v>
      </c>
      <c r="D34" t="s">
        <v>213</v>
      </c>
      <c r="E34">
        <v>26</v>
      </c>
      <c r="F34">
        <v>500</v>
      </c>
      <c r="G34">
        <v>10</v>
      </c>
      <c r="H34">
        <v>6024</v>
      </c>
    </row>
    <row r="35" spans="1:8" x14ac:dyDescent="0.2">
      <c r="A35" t="str">
        <f>LOOKUP(E35,SampleList!Z:Z,SampleList!A:A)</f>
        <v>CTD-010</v>
      </c>
      <c r="B35">
        <f>LOOKUP(E35,SampleList!Z:Z,SampleList!B:B)</f>
        <v>6</v>
      </c>
      <c r="C35">
        <f>LOOKUP(E35,SampleList!Z:Z,SampleList!D:D)</f>
        <v>500</v>
      </c>
      <c r="D35" t="s">
        <v>216</v>
      </c>
      <c r="E35">
        <v>27</v>
      </c>
      <c r="F35">
        <v>500</v>
      </c>
      <c r="G35">
        <v>10</v>
      </c>
      <c r="H35">
        <v>6025</v>
      </c>
    </row>
    <row r="36" spans="1:8" x14ac:dyDescent="0.2">
      <c r="A36" t="str">
        <f>LOOKUP(E36,SampleList!Z:Z,SampleList!A:A)</f>
        <v>CTD-010</v>
      </c>
      <c r="B36">
        <f>LOOKUP(E36,SampleList!Z:Z,SampleList!B:B)</f>
        <v>8</v>
      </c>
      <c r="C36">
        <f>LOOKUP(E36,SampleList!Z:Z,SampleList!D:D)</f>
        <v>400</v>
      </c>
      <c r="D36" t="s">
        <v>214</v>
      </c>
      <c r="E36">
        <v>28</v>
      </c>
      <c r="F36">
        <v>500</v>
      </c>
      <c r="G36">
        <v>10</v>
      </c>
      <c r="H36">
        <v>6026</v>
      </c>
    </row>
    <row r="37" spans="1:8" x14ac:dyDescent="0.2">
      <c r="A37" t="str">
        <f>LOOKUP(E37,SampleList!Z:Z,SampleList!A:A)</f>
        <v>CTD-010</v>
      </c>
      <c r="B37">
        <f>LOOKUP(E37,SampleList!Z:Z,SampleList!B:B)</f>
        <v>10</v>
      </c>
      <c r="C37">
        <f>LOOKUP(E37,SampleList!Z:Z,SampleList!D:D)</f>
        <v>350</v>
      </c>
      <c r="D37" t="s">
        <v>215</v>
      </c>
      <c r="E37">
        <v>29</v>
      </c>
      <c r="F37">
        <v>500</v>
      </c>
      <c r="G37">
        <v>10</v>
      </c>
      <c r="H37">
        <v>6027</v>
      </c>
    </row>
    <row r="38" spans="1:8" x14ac:dyDescent="0.2">
      <c r="A38" t="str">
        <f>LOOKUP(E38,SampleList!Z:Z,SampleList!A:A)</f>
        <v>J2-1272</v>
      </c>
      <c r="B38" t="str">
        <f>LOOKUP(E38,SampleList!Z:Z,SampleList!B:B)</f>
        <v>Forward</v>
      </c>
      <c r="C38">
        <f>LOOKUP(E38,SampleList!Z:Z,SampleList!D:D)</f>
        <v>5.9</v>
      </c>
      <c r="D38" t="s">
        <v>217</v>
      </c>
      <c r="E38">
        <v>30</v>
      </c>
      <c r="F38">
        <v>500</v>
      </c>
      <c r="G38">
        <v>10</v>
      </c>
      <c r="H38">
        <v>6028</v>
      </c>
    </row>
    <row r="39" spans="1:8" x14ac:dyDescent="0.2">
      <c r="A39" t="str">
        <f>LOOKUP(E39,SampleList!Z:Z,SampleList!A:A)</f>
        <v>J2-1272</v>
      </c>
      <c r="B39" t="str">
        <f>LOOKUP(E39,SampleList!Z:Z,SampleList!B:B)</f>
        <v>Aft</v>
      </c>
      <c r="C39">
        <f>LOOKUP(E39,SampleList!Z:Z,SampleList!D:D)</f>
        <v>81</v>
      </c>
      <c r="D39" t="s">
        <v>218</v>
      </c>
      <c r="E39">
        <v>31</v>
      </c>
      <c r="F39">
        <v>500</v>
      </c>
      <c r="G39">
        <v>10</v>
      </c>
      <c r="H39">
        <v>6029</v>
      </c>
    </row>
    <row r="40" spans="1:8" x14ac:dyDescent="0.2">
      <c r="A40" s="2"/>
      <c r="B40" s="2"/>
    </row>
    <row r="41" spans="1:8" x14ac:dyDescent="0.2">
      <c r="A41" s="2"/>
      <c r="B41" s="2"/>
    </row>
    <row r="42" spans="1:8" x14ac:dyDescent="0.2">
      <c r="A42" s="2"/>
      <c r="B42" s="2"/>
    </row>
    <row r="43" spans="1:8" x14ac:dyDescent="0.2">
      <c r="A43" s="2"/>
      <c r="B43" s="2"/>
    </row>
    <row r="44" spans="1:8" x14ac:dyDescent="0.2">
      <c r="A44" s="2"/>
      <c r="B44" s="2"/>
    </row>
    <row r="45" spans="1:8" x14ac:dyDescent="0.2">
      <c r="A45" s="2"/>
      <c r="B45" s="2"/>
    </row>
    <row r="46" spans="1:8" x14ac:dyDescent="0.2">
      <c r="A46" s="2"/>
      <c r="B46" s="2"/>
    </row>
    <row r="47" spans="1:8" x14ac:dyDescent="0.2">
      <c r="A47" s="2"/>
      <c r="B47" s="2"/>
    </row>
    <row r="48" spans="1:8" x14ac:dyDescent="0.2">
      <c r="A48" s="2"/>
      <c r="B48" s="2"/>
    </row>
  </sheetData>
  <sortState xmlns:xlrd2="http://schemas.microsoft.com/office/spreadsheetml/2017/richdata2" ref="A10:E39">
    <sortCondition ref="E10:E39"/>
    <sortCondition ref="B10:B39"/>
  </sortState>
  <mergeCells count="18">
    <mergeCell ref="I8:I9"/>
    <mergeCell ref="A6:B6"/>
    <mergeCell ref="C6:H6"/>
    <mergeCell ref="A8:A9"/>
    <mergeCell ref="B8:B9"/>
    <mergeCell ref="C8:C9"/>
    <mergeCell ref="D8:D9"/>
    <mergeCell ref="E8:E9"/>
    <mergeCell ref="F8:F9"/>
    <mergeCell ref="G8:G9"/>
    <mergeCell ref="H8:H9"/>
    <mergeCell ref="A4:B4"/>
    <mergeCell ref="C4:H4"/>
    <mergeCell ref="A1:H1"/>
    <mergeCell ref="A2:B2"/>
    <mergeCell ref="C2:H2"/>
    <mergeCell ref="A3:B3"/>
    <mergeCell ref="C3:H3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4E353F-72AC-F842-B6C8-C0C6F1D1D255}">
          <x14:formula1>
            <xm:f>CastList!$A$2</xm:f>
          </x14:formula1>
          <xm:sqref>C2:H2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F3DE-1847-EC4C-9EB5-7FE18CB46DBE}">
  <sheetPr codeName="Sheet15">
    <tabColor rgb="FF002060"/>
  </sheetPr>
  <dimension ref="A1:B10"/>
  <sheetViews>
    <sheetView workbookViewId="0"/>
  </sheetViews>
  <sheetFormatPr baseColWidth="10" defaultRowHeight="16" x14ac:dyDescent="0.2"/>
  <cols>
    <col min="1" max="1" width="26.1640625" bestFit="1" customWidth="1"/>
    <col min="2" max="2" width="53.33203125" bestFit="1" customWidth="1"/>
  </cols>
  <sheetData>
    <row r="1" spans="1:2" x14ac:dyDescent="0.2">
      <c r="A1" t="s">
        <v>255</v>
      </c>
      <c r="B1" s="22" t="s">
        <v>256</v>
      </c>
    </row>
    <row r="2" spans="1:2" x14ac:dyDescent="0.2">
      <c r="A2" t="s">
        <v>246</v>
      </c>
      <c r="B2" t="s">
        <v>260</v>
      </c>
    </row>
    <row r="3" spans="1:2" x14ac:dyDescent="0.2">
      <c r="A3" t="s">
        <v>247</v>
      </c>
      <c r="B3" t="s">
        <v>45</v>
      </c>
    </row>
    <row r="4" spans="1:2" x14ac:dyDescent="0.2">
      <c r="A4" t="s">
        <v>248</v>
      </c>
      <c r="B4" t="s">
        <v>45</v>
      </c>
    </row>
    <row r="5" spans="1:2" x14ac:dyDescent="0.2">
      <c r="A5" t="s">
        <v>249</v>
      </c>
      <c r="B5" t="s">
        <v>45</v>
      </c>
    </row>
    <row r="6" spans="1:2" x14ac:dyDescent="0.2">
      <c r="A6" t="s">
        <v>250</v>
      </c>
      <c r="B6" t="s">
        <v>45</v>
      </c>
    </row>
    <row r="7" spans="1:2" x14ac:dyDescent="0.2">
      <c r="A7" t="s">
        <v>251</v>
      </c>
      <c r="B7" t="s">
        <v>45</v>
      </c>
    </row>
    <row r="8" spans="1:2" x14ac:dyDescent="0.2">
      <c r="A8" t="s">
        <v>252</v>
      </c>
      <c r="B8" t="s">
        <v>260</v>
      </c>
    </row>
    <row r="9" spans="1:2" x14ac:dyDescent="0.2">
      <c r="A9" t="s">
        <v>253</v>
      </c>
      <c r="B9" t="s">
        <v>45</v>
      </c>
    </row>
    <row r="10" spans="1:2" x14ac:dyDescent="0.2">
      <c r="A10" t="s">
        <v>254</v>
      </c>
      <c r="B10" t="s">
        <v>260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FF7F44-3F43-9F44-A7EB-CDB8ECC33E61}">
          <x14:formula1>
            <xm:f>_Flags_!$D$2:$D$9</xm:f>
          </x14:formula1>
          <xm:sqref>B2:B10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1AAF2-8DE1-5D4A-A515-BEAD7FB37D7C}">
  <sheetPr codeName="Sheet16">
    <tabColor rgb="FF002060"/>
  </sheetPr>
  <dimension ref="A1:B4"/>
  <sheetViews>
    <sheetView workbookViewId="0"/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255</v>
      </c>
      <c r="B1" s="22" t="s">
        <v>256</v>
      </c>
    </row>
    <row r="2" spans="1:2" x14ac:dyDescent="0.2">
      <c r="A2" t="s">
        <v>246</v>
      </c>
      <c r="B2" t="s">
        <v>45</v>
      </c>
    </row>
    <row r="3" spans="1:2" x14ac:dyDescent="0.2">
      <c r="A3" t="s">
        <v>247</v>
      </c>
      <c r="B3" t="s">
        <v>45</v>
      </c>
    </row>
    <row r="4" spans="1:2" x14ac:dyDescent="0.2">
      <c r="A4" t="s">
        <v>249</v>
      </c>
      <c r="B4" t="s">
        <v>45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9A979C-491A-0E4F-A014-E7DCC20FE982}">
          <x14:formula1>
            <xm:f>_Flags_!$D$2:$D$9</xm:f>
          </x14:formula1>
          <xm:sqref>B2:B4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421E-7C44-044E-89A5-150A76054D82}">
  <sheetPr codeName="Sheet5">
    <tabColor rgb="FF7030A0"/>
  </sheetPr>
  <dimension ref="A1:F49"/>
  <sheetViews>
    <sheetView workbookViewId="0"/>
  </sheetViews>
  <sheetFormatPr baseColWidth="10" defaultRowHeight="16" x14ac:dyDescent="0.2"/>
  <cols>
    <col min="1" max="1" width="19.6640625" customWidth="1"/>
    <col min="2" max="2" width="17.5" style="25" customWidth="1"/>
    <col min="5" max="5" width="14.6640625" bestFit="1" customWidth="1"/>
  </cols>
  <sheetData>
    <row r="1" spans="1:6" x14ac:dyDescent="0.2">
      <c r="A1" s="6" t="s">
        <v>68</v>
      </c>
      <c r="B1" s="23" t="s">
        <v>69</v>
      </c>
      <c r="E1" s="6" t="s">
        <v>93</v>
      </c>
      <c r="F1" s="6" t="s">
        <v>94</v>
      </c>
    </row>
    <row r="2" spans="1:6" x14ac:dyDescent="0.2">
      <c r="A2">
        <v>121</v>
      </c>
      <c r="B2" s="25">
        <v>132.41</v>
      </c>
      <c r="E2">
        <v>10</v>
      </c>
      <c r="F2">
        <v>0.01</v>
      </c>
    </row>
    <row r="3" spans="1:6" x14ac:dyDescent="0.2">
      <c r="A3">
        <v>122</v>
      </c>
      <c r="B3" s="25">
        <v>134.55000000000001</v>
      </c>
    </row>
    <row r="4" spans="1:6" x14ac:dyDescent="0.2">
      <c r="A4">
        <v>123</v>
      </c>
      <c r="B4" s="25">
        <v>137.55000000000001</v>
      </c>
    </row>
    <row r="5" spans="1:6" x14ac:dyDescent="0.2">
      <c r="A5">
        <v>124</v>
      </c>
      <c r="B5" s="25">
        <v>137.68</v>
      </c>
    </row>
    <row r="6" spans="1:6" x14ac:dyDescent="0.2">
      <c r="A6">
        <v>125</v>
      </c>
      <c r="B6" s="25">
        <v>133.4</v>
      </c>
    </row>
    <row r="7" spans="1:6" x14ac:dyDescent="0.2">
      <c r="A7">
        <v>126</v>
      </c>
      <c r="B7" s="25">
        <v>130.78</v>
      </c>
    </row>
    <row r="8" spans="1:6" x14ac:dyDescent="0.2">
      <c r="A8">
        <v>127</v>
      </c>
      <c r="B8" s="25">
        <v>134.49</v>
      </c>
    </row>
    <row r="9" spans="1:6" x14ac:dyDescent="0.2">
      <c r="A9">
        <v>128</v>
      </c>
      <c r="B9" s="25">
        <v>134.38999999999999</v>
      </c>
    </row>
    <row r="10" spans="1:6" x14ac:dyDescent="0.2">
      <c r="A10">
        <v>129</v>
      </c>
      <c r="B10" s="25">
        <v>133.32</v>
      </c>
    </row>
    <row r="11" spans="1:6" x14ac:dyDescent="0.2">
      <c r="A11">
        <v>130</v>
      </c>
      <c r="B11" s="25">
        <v>130.1</v>
      </c>
    </row>
    <row r="12" spans="1:6" x14ac:dyDescent="0.2">
      <c r="A12">
        <v>131</v>
      </c>
      <c r="B12" s="25">
        <v>129.76</v>
      </c>
    </row>
    <row r="13" spans="1:6" x14ac:dyDescent="0.2">
      <c r="A13" t="s">
        <v>219</v>
      </c>
      <c r="B13" s="25">
        <v>140.35</v>
      </c>
    </row>
    <row r="14" spans="1:6" x14ac:dyDescent="0.2">
      <c r="A14">
        <v>133</v>
      </c>
      <c r="B14" s="25">
        <v>133.35</v>
      </c>
    </row>
    <row r="15" spans="1:6" x14ac:dyDescent="0.2">
      <c r="A15">
        <v>134</v>
      </c>
      <c r="B15" s="25">
        <v>133.19</v>
      </c>
    </row>
    <row r="16" spans="1:6" x14ac:dyDescent="0.2">
      <c r="A16">
        <v>135</v>
      </c>
      <c r="B16" s="25">
        <v>141.38999999999999</v>
      </c>
    </row>
    <row r="17" spans="1:2" x14ac:dyDescent="0.2">
      <c r="A17">
        <v>136</v>
      </c>
      <c r="B17" s="25">
        <v>140.79</v>
      </c>
    </row>
    <row r="18" spans="1:2" x14ac:dyDescent="0.2">
      <c r="A18">
        <v>137</v>
      </c>
      <c r="B18" s="25">
        <v>132.36000000000001</v>
      </c>
    </row>
    <row r="19" spans="1:2" x14ac:dyDescent="0.2">
      <c r="A19">
        <v>138</v>
      </c>
      <c r="B19" s="25">
        <v>133.13</v>
      </c>
    </row>
    <row r="20" spans="1:2" x14ac:dyDescent="0.2">
      <c r="A20">
        <v>139</v>
      </c>
      <c r="B20" s="25">
        <v>129.76</v>
      </c>
    </row>
    <row r="21" spans="1:2" x14ac:dyDescent="0.2">
      <c r="A21">
        <v>140</v>
      </c>
      <c r="B21" s="25">
        <v>131.85</v>
      </c>
    </row>
    <row r="22" spans="1:2" x14ac:dyDescent="0.2">
      <c r="A22">
        <v>141</v>
      </c>
      <c r="B22" s="25">
        <v>133.63999999999999</v>
      </c>
    </row>
    <row r="23" spans="1:2" x14ac:dyDescent="0.2">
      <c r="A23">
        <v>142</v>
      </c>
      <c r="B23" s="25">
        <v>133.26</v>
      </c>
    </row>
    <row r="24" spans="1:2" x14ac:dyDescent="0.2">
      <c r="A24">
        <v>143</v>
      </c>
      <c r="B24" s="25">
        <v>134.19999999999999</v>
      </c>
    </row>
    <row r="25" spans="1:2" x14ac:dyDescent="0.2">
      <c r="A25">
        <v>144</v>
      </c>
      <c r="B25" s="25">
        <v>131.71</v>
      </c>
    </row>
    <row r="26" spans="1:2" x14ac:dyDescent="0.2">
      <c r="A26" t="s">
        <v>135</v>
      </c>
      <c r="B26" s="25">
        <v>142.94</v>
      </c>
    </row>
    <row r="27" spans="1:2" x14ac:dyDescent="0.2">
      <c r="A27">
        <v>266</v>
      </c>
      <c r="B27" s="25">
        <v>144.51</v>
      </c>
    </row>
    <row r="28" spans="1:2" x14ac:dyDescent="0.2">
      <c r="A28">
        <v>267</v>
      </c>
      <c r="B28" s="25">
        <v>144.31</v>
      </c>
    </row>
    <row r="29" spans="1:2" x14ac:dyDescent="0.2">
      <c r="A29">
        <v>268</v>
      </c>
      <c r="B29" s="25">
        <v>131.07</v>
      </c>
    </row>
    <row r="30" spans="1:2" x14ac:dyDescent="0.2">
      <c r="A30">
        <v>269</v>
      </c>
      <c r="B30" s="25">
        <v>144.82</v>
      </c>
    </row>
    <row r="31" spans="1:2" x14ac:dyDescent="0.2">
      <c r="A31" t="s">
        <v>220</v>
      </c>
      <c r="B31" s="25">
        <v>136.12</v>
      </c>
    </row>
    <row r="32" spans="1:2" x14ac:dyDescent="0.2">
      <c r="A32" t="s">
        <v>221</v>
      </c>
      <c r="B32" s="25">
        <v>142.88999999999999</v>
      </c>
    </row>
    <row r="33" spans="1:2" x14ac:dyDescent="0.2">
      <c r="A33">
        <v>272</v>
      </c>
      <c r="B33" s="25">
        <v>129.91999999999999</v>
      </c>
    </row>
    <row r="34" spans="1:2" x14ac:dyDescent="0.2">
      <c r="A34">
        <v>273</v>
      </c>
      <c r="B34" s="25">
        <v>125.73</v>
      </c>
    </row>
    <row r="35" spans="1:2" x14ac:dyDescent="0.2">
      <c r="A35">
        <v>274</v>
      </c>
      <c r="B35" s="25">
        <v>142.72</v>
      </c>
    </row>
    <row r="36" spans="1:2" x14ac:dyDescent="0.2">
      <c r="A36">
        <v>275</v>
      </c>
      <c r="B36" s="25">
        <v>142.47</v>
      </c>
    </row>
    <row r="37" spans="1:2" x14ac:dyDescent="0.2">
      <c r="A37">
        <v>276</v>
      </c>
      <c r="B37" s="25">
        <v>129.65</v>
      </c>
    </row>
    <row r="38" spans="1:2" x14ac:dyDescent="0.2">
      <c r="A38">
        <v>277</v>
      </c>
      <c r="B38" s="25">
        <v>145.35</v>
      </c>
    </row>
    <row r="39" spans="1:2" x14ac:dyDescent="0.2">
      <c r="A39">
        <v>278</v>
      </c>
      <c r="B39" s="25">
        <v>145.26</v>
      </c>
    </row>
    <row r="40" spans="1:2" x14ac:dyDescent="0.2">
      <c r="A40">
        <v>279</v>
      </c>
      <c r="B40" s="25">
        <v>142.22999999999999</v>
      </c>
    </row>
    <row r="41" spans="1:2" x14ac:dyDescent="0.2">
      <c r="A41">
        <v>280</v>
      </c>
      <c r="B41" s="25">
        <v>133.87</v>
      </c>
    </row>
    <row r="42" spans="1:2" x14ac:dyDescent="0.2">
      <c r="A42">
        <v>281</v>
      </c>
      <c r="B42" s="25">
        <v>124.09</v>
      </c>
    </row>
    <row r="43" spans="1:2" x14ac:dyDescent="0.2">
      <c r="A43">
        <v>282</v>
      </c>
      <c r="B43" s="25">
        <v>131.93</v>
      </c>
    </row>
    <row r="44" spans="1:2" x14ac:dyDescent="0.2">
      <c r="A44">
        <v>283</v>
      </c>
      <c r="B44" s="25">
        <v>141.51</v>
      </c>
    </row>
    <row r="45" spans="1:2" x14ac:dyDescent="0.2">
      <c r="A45">
        <v>284</v>
      </c>
      <c r="B45" s="25">
        <v>143.55000000000001</v>
      </c>
    </row>
    <row r="46" spans="1:2" x14ac:dyDescent="0.2">
      <c r="A46">
        <v>285</v>
      </c>
      <c r="B46" s="25">
        <v>144.56</v>
      </c>
    </row>
    <row r="47" spans="1:2" x14ac:dyDescent="0.2">
      <c r="A47">
        <v>286</v>
      </c>
      <c r="B47" s="25">
        <v>145.25</v>
      </c>
    </row>
    <row r="48" spans="1:2" x14ac:dyDescent="0.2">
      <c r="A48">
        <v>287</v>
      </c>
      <c r="B48" s="25">
        <v>133.37</v>
      </c>
    </row>
    <row r="49" spans="1:2" x14ac:dyDescent="0.2">
      <c r="A49">
        <v>288</v>
      </c>
      <c r="B49" s="25">
        <v>144.16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1B990-5DEC-8340-8D38-4BF82CDD655B}">
  <sheetPr codeName="Sheet4">
    <tabColor rgb="FF0070C0"/>
  </sheetPr>
  <dimension ref="A1:G37"/>
  <sheetViews>
    <sheetView workbookViewId="0"/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16" t="s">
        <v>95</v>
      </c>
      <c r="B1" s="15" t="s">
        <v>96</v>
      </c>
      <c r="C1" s="15" t="s">
        <v>97</v>
      </c>
      <c r="D1" s="15" t="s">
        <v>98</v>
      </c>
      <c r="E1" s="15" t="s">
        <v>99</v>
      </c>
      <c r="F1" s="15" t="s">
        <v>100</v>
      </c>
      <c r="G1" s="15" t="s">
        <v>101</v>
      </c>
    </row>
    <row r="2" spans="1:7" ht="18" x14ac:dyDescent="0.25">
      <c r="A2" s="17">
        <v>0</v>
      </c>
      <c r="B2" s="18" t="s">
        <v>23</v>
      </c>
      <c r="C2" s="18" t="s">
        <v>23</v>
      </c>
      <c r="D2" s="18" t="s">
        <v>23</v>
      </c>
      <c r="E2" s="18" t="s">
        <v>23</v>
      </c>
      <c r="F2" s="18" t="s">
        <v>23</v>
      </c>
      <c r="G2" s="18" t="s">
        <v>23</v>
      </c>
    </row>
    <row r="3" spans="1:7" ht="52" x14ac:dyDescent="0.25">
      <c r="A3" s="17">
        <v>1</v>
      </c>
      <c r="B3" s="18" t="s">
        <v>24</v>
      </c>
      <c r="C3" s="18" t="s">
        <v>38</v>
      </c>
      <c r="D3" s="18" t="s">
        <v>44</v>
      </c>
      <c r="E3" s="18" t="s">
        <v>51</v>
      </c>
      <c r="F3" s="18" t="s">
        <v>102</v>
      </c>
      <c r="G3" s="18" t="s">
        <v>62</v>
      </c>
    </row>
    <row r="4" spans="1:7" ht="35" x14ac:dyDescent="0.25">
      <c r="A4" s="17">
        <v>2</v>
      </c>
      <c r="B4" s="18" t="s">
        <v>25</v>
      </c>
      <c r="C4" s="18" t="s">
        <v>39</v>
      </c>
      <c r="D4" s="18" t="s">
        <v>45</v>
      </c>
      <c r="E4" s="18" t="s">
        <v>52</v>
      </c>
      <c r="F4" s="18" t="s">
        <v>59</v>
      </c>
      <c r="G4" s="18" t="s">
        <v>63</v>
      </c>
    </row>
    <row r="5" spans="1:7" ht="35" x14ac:dyDescent="0.25">
      <c r="A5" s="17">
        <v>3</v>
      </c>
      <c r="B5" s="18" t="s">
        <v>26</v>
      </c>
      <c r="C5" s="18" t="s">
        <v>40</v>
      </c>
      <c r="D5" s="18" t="s">
        <v>46</v>
      </c>
      <c r="E5" s="18" t="s">
        <v>53</v>
      </c>
      <c r="F5" s="18" t="s">
        <v>46</v>
      </c>
      <c r="G5" s="18" t="s">
        <v>64</v>
      </c>
    </row>
    <row r="6" spans="1:7" ht="35" x14ac:dyDescent="0.25">
      <c r="A6" s="17">
        <v>4</v>
      </c>
      <c r="B6" s="18" t="s">
        <v>27</v>
      </c>
      <c r="C6" s="18" t="s">
        <v>41</v>
      </c>
      <c r="D6" s="18" t="s">
        <v>47</v>
      </c>
      <c r="E6" s="18" t="s">
        <v>54</v>
      </c>
      <c r="F6" s="18" t="s">
        <v>47</v>
      </c>
      <c r="G6" s="18" t="s">
        <v>65</v>
      </c>
    </row>
    <row r="7" spans="1:7" ht="35" x14ac:dyDescent="0.25">
      <c r="A7" s="17">
        <v>5</v>
      </c>
      <c r="B7" s="18" t="s">
        <v>28</v>
      </c>
      <c r="C7" s="18" t="s">
        <v>42</v>
      </c>
      <c r="D7" s="18" t="s">
        <v>48</v>
      </c>
      <c r="E7" s="18" t="s">
        <v>55</v>
      </c>
      <c r="F7" s="18" t="s">
        <v>48</v>
      </c>
      <c r="G7" s="18" t="s">
        <v>37</v>
      </c>
    </row>
    <row r="8" spans="1:7" ht="35" x14ac:dyDescent="0.25">
      <c r="A8" s="17">
        <v>6</v>
      </c>
      <c r="B8" s="18" t="s">
        <v>29</v>
      </c>
      <c r="C8" s="18" t="s">
        <v>43</v>
      </c>
      <c r="D8" s="18" t="s">
        <v>49</v>
      </c>
      <c r="E8" s="18" t="s">
        <v>56</v>
      </c>
      <c r="F8" s="18" t="s">
        <v>60</v>
      </c>
      <c r="G8" s="18" t="s">
        <v>37</v>
      </c>
    </row>
    <row r="9" spans="1:7" ht="35" x14ac:dyDescent="0.25">
      <c r="A9" s="17">
        <v>7</v>
      </c>
      <c r="B9" s="18" t="s">
        <v>30</v>
      </c>
      <c r="C9" s="18" t="s">
        <v>37</v>
      </c>
      <c r="D9" s="18" t="s">
        <v>50</v>
      </c>
      <c r="E9" s="18" t="s">
        <v>57</v>
      </c>
      <c r="F9" s="18" t="s">
        <v>61</v>
      </c>
      <c r="G9" s="18" t="s">
        <v>37</v>
      </c>
    </row>
    <row r="10" spans="1:7" ht="18" x14ac:dyDescent="0.25">
      <c r="A10" s="17">
        <v>8</v>
      </c>
      <c r="B10" s="18" t="s">
        <v>31</v>
      </c>
      <c r="C10" s="18" t="s">
        <v>37</v>
      </c>
      <c r="D10" s="18" t="s">
        <v>37</v>
      </c>
      <c r="E10" s="18" t="s">
        <v>37</v>
      </c>
      <c r="F10" s="18" t="s">
        <v>37</v>
      </c>
      <c r="G10" s="18" t="s">
        <v>37</v>
      </c>
    </row>
    <row r="11" spans="1:7" ht="35" x14ac:dyDescent="0.25">
      <c r="A11" s="17">
        <v>9</v>
      </c>
      <c r="B11" s="18" t="s">
        <v>32</v>
      </c>
      <c r="C11" s="18" t="s">
        <v>37</v>
      </c>
      <c r="D11" s="18" t="s">
        <v>37</v>
      </c>
      <c r="E11" s="18" t="s">
        <v>58</v>
      </c>
      <c r="F11" s="18" t="s">
        <v>37</v>
      </c>
      <c r="G11" s="18" t="s">
        <v>37</v>
      </c>
    </row>
    <row r="12" spans="1:7" ht="18" x14ac:dyDescent="0.25">
      <c r="A12" s="17">
        <v>10</v>
      </c>
      <c r="B12" s="18" t="s">
        <v>33</v>
      </c>
      <c r="C12" s="18" t="s">
        <v>37</v>
      </c>
      <c r="D12" s="18" t="s">
        <v>37</v>
      </c>
      <c r="E12" s="18" t="s">
        <v>37</v>
      </c>
      <c r="F12" s="18" t="s">
        <v>37</v>
      </c>
      <c r="G12" s="18" t="s">
        <v>37</v>
      </c>
    </row>
    <row r="13" spans="1:7" ht="18" x14ac:dyDescent="0.25">
      <c r="A13" s="17">
        <v>11</v>
      </c>
      <c r="B13" s="18" t="s">
        <v>34</v>
      </c>
      <c r="C13" s="18" t="s">
        <v>37</v>
      </c>
      <c r="D13" s="18" t="s">
        <v>37</v>
      </c>
      <c r="E13" s="18" t="s">
        <v>37</v>
      </c>
      <c r="F13" s="18" t="s">
        <v>37</v>
      </c>
      <c r="G13" s="18" t="s">
        <v>37</v>
      </c>
    </row>
    <row r="14" spans="1:7" ht="18" x14ac:dyDescent="0.25">
      <c r="A14" s="17">
        <v>12</v>
      </c>
      <c r="B14" s="18" t="s">
        <v>35</v>
      </c>
      <c r="C14" s="18" t="s">
        <v>37</v>
      </c>
      <c r="D14" s="18" t="s">
        <v>37</v>
      </c>
      <c r="E14" s="18" t="s">
        <v>37</v>
      </c>
      <c r="F14" s="18" t="s">
        <v>37</v>
      </c>
      <c r="G14" s="18" t="s">
        <v>37</v>
      </c>
    </row>
    <row r="15" spans="1:7" ht="18" x14ac:dyDescent="0.25">
      <c r="A15" s="17">
        <v>13</v>
      </c>
      <c r="B15" s="18" t="s">
        <v>36</v>
      </c>
      <c r="C15" s="18" t="s">
        <v>37</v>
      </c>
      <c r="D15" s="18" t="s">
        <v>37</v>
      </c>
      <c r="E15" s="18" t="s">
        <v>37</v>
      </c>
      <c r="F15" s="18" t="s">
        <v>37</v>
      </c>
      <c r="G15" s="18" t="s">
        <v>37</v>
      </c>
    </row>
    <row r="16" spans="1:7" ht="18" x14ac:dyDescent="0.25">
      <c r="A16" s="17">
        <v>14</v>
      </c>
      <c r="B16" s="18" t="s">
        <v>37</v>
      </c>
      <c r="C16" s="18" t="s">
        <v>37</v>
      </c>
      <c r="D16" s="18" t="s">
        <v>37</v>
      </c>
      <c r="E16" s="18" t="s">
        <v>37</v>
      </c>
      <c r="F16" s="18" t="s">
        <v>37</v>
      </c>
      <c r="G16" s="18" t="s">
        <v>37</v>
      </c>
    </row>
    <row r="17" spans="1:7" ht="18" x14ac:dyDescent="0.25">
      <c r="A17" s="17">
        <v>15</v>
      </c>
      <c r="B17" s="18" t="s">
        <v>37</v>
      </c>
      <c r="C17" s="18" t="s">
        <v>37</v>
      </c>
      <c r="D17" s="18" t="s">
        <v>37</v>
      </c>
      <c r="E17" s="18" t="s">
        <v>37</v>
      </c>
      <c r="F17" s="18" t="s">
        <v>37</v>
      </c>
      <c r="G17" s="18" t="s">
        <v>37</v>
      </c>
    </row>
    <row r="21" spans="1:7" ht="17" x14ac:dyDescent="0.25">
      <c r="A21" s="11"/>
    </row>
    <row r="22" spans="1:7" ht="17" x14ac:dyDescent="0.25">
      <c r="A22" s="11"/>
    </row>
    <row r="23" spans="1:7" ht="17" x14ac:dyDescent="0.25">
      <c r="A23" s="11"/>
    </row>
    <row r="24" spans="1:7" ht="17" x14ac:dyDescent="0.25">
      <c r="A24" s="11"/>
    </row>
    <row r="25" spans="1:7" ht="17" x14ac:dyDescent="0.25">
      <c r="A25" s="11"/>
    </row>
    <row r="26" spans="1:7" ht="17" x14ac:dyDescent="0.25">
      <c r="A26" s="11"/>
    </row>
    <row r="27" spans="1:7" ht="17" x14ac:dyDescent="0.25">
      <c r="A27" s="11"/>
    </row>
    <row r="28" spans="1:7" ht="17" x14ac:dyDescent="0.25">
      <c r="A28" s="11"/>
    </row>
    <row r="29" spans="1:7" ht="17" x14ac:dyDescent="0.25">
      <c r="A29" s="11"/>
    </row>
    <row r="30" spans="1:7" ht="17" x14ac:dyDescent="0.25">
      <c r="A30" s="11"/>
    </row>
    <row r="31" spans="1:7" ht="17" x14ac:dyDescent="0.25">
      <c r="A31" s="11"/>
    </row>
    <row r="32" spans="1:7" ht="17" x14ac:dyDescent="0.25">
      <c r="A32" s="11"/>
    </row>
    <row r="33" spans="1:1" ht="17" x14ac:dyDescent="0.25">
      <c r="A33" s="11"/>
    </row>
    <row r="34" spans="1:1" ht="17" x14ac:dyDescent="0.25">
      <c r="A34" s="11"/>
    </row>
    <row r="35" spans="1:1" ht="17" x14ac:dyDescent="0.25">
      <c r="A35" s="11"/>
    </row>
    <row r="36" spans="1:1" ht="17" x14ac:dyDescent="0.25">
      <c r="A36" s="11"/>
    </row>
    <row r="37" spans="1:1" ht="17" x14ac:dyDescent="0.25">
      <c r="A37" s="11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BAD9-2A48-754D-B8E7-7E7B20F54058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66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117</v>
      </c>
    </row>
    <row r="27" spans="1:1" x14ac:dyDescent="0.2">
      <c r="A27" t="s">
        <v>118</v>
      </c>
    </row>
    <row r="28" spans="1:1" x14ac:dyDescent="0.2">
      <c r="A28" t="s">
        <v>119</v>
      </c>
    </row>
    <row r="29" spans="1:1" x14ac:dyDescent="0.2">
      <c r="A29" t="s">
        <v>120</v>
      </c>
    </row>
    <row r="30" spans="1:1" x14ac:dyDescent="0.2">
      <c r="A30" t="s">
        <v>240</v>
      </c>
    </row>
    <row r="31" spans="1:1" x14ac:dyDescent="0.2">
      <c r="A31" t="s">
        <v>241</v>
      </c>
    </row>
    <row r="32" spans="1:1" x14ac:dyDescent="0.2">
      <c r="A32" t="s">
        <v>242</v>
      </c>
    </row>
    <row r="33" spans="1:1" x14ac:dyDescent="0.2">
      <c r="A33" t="s">
        <v>243</v>
      </c>
    </row>
    <row r="34" spans="1:1" x14ac:dyDescent="0.2">
      <c r="A34" t="s">
        <v>272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9FE1-4962-064A-96B3-27FD04033605}">
  <sheetPr codeName="Sheet10">
    <tabColor rgb="FF0070C0"/>
  </sheetPr>
  <dimension ref="A1:B49"/>
  <sheetViews>
    <sheetView workbookViewId="0"/>
  </sheetViews>
  <sheetFormatPr baseColWidth="10" defaultRowHeight="16" x14ac:dyDescent="0.2"/>
  <cols>
    <col min="1" max="1" width="66" bestFit="1" customWidth="1"/>
    <col min="2" max="2" width="64" style="8" bestFit="1" customWidth="1"/>
  </cols>
  <sheetData>
    <row r="1" spans="1:2" x14ac:dyDescent="0.2">
      <c r="A1" t="s">
        <v>75</v>
      </c>
      <c r="B1"/>
    </row>
    <row r="2" spans="1:2" x14ac:dyDescent="0.2">
      <c r="A2" t="s">
        <v>331</v>
      </c>
      <c r="B2"/>
    </row>
    <row r="3" spans="1:2" x14ac:dyDescent="0.2">
      <c r="A3" t="s">
        <v>305</v>
      </c>
      <c r="B3"/>
    </row>
    <row r="4" spans="1:2" x14ac:dyDescent="0.2">
      <c r="A4" t="s">
        <v>302</v>
      </c>
      <c r="B4"/>
    </row>
    <row r="5" spans="1:2" x14ac:dyDescent="0.2">
      <c r="A5" t="s">
        <v>76</v>
      </c>
      <c r="B5"/>
    </row>
    <row r="6" spans="1:2" x14ac:dyDescent="0.2">
      <c r="A6" t="s">
        <v>74</v>
      </c>
      <c r="B6"/>
    </row>
    <row r="7" spans="1:2" x14ac:dyDescent="0.2">
      <c r="A7" t="s">
        <v>300</v>
      </c>
      <c r="B7"/>
    </row>
    <row r="8" spans="1:2" x14ac:dyDescent="0.2">
      <c r="A8" t="s">
        <v>309</v>
      </c>
      <c r="B8"/>
    </row>
    <row r="9" spans="1:2" x14ac:dyDescent="0.2">
      <c r="A9" t="s">
        <v>308</v>
      </c>
      <c r="B9"/>
    </row>
    <row r="10" spans="1:2" x14ac:dyDescent="0.2">
      <c r="A10" t="s">
        <v>303</v>
      </c>
      <c r="B10"/>
    </row>
    <row r="11" spans="1:2" x14ac:dyDescent="0.2">
      <c r="A11" t="s">
        <v>304</v>
      </c>
      <c r="B11"/>
    </row>
    <row r="12" spans="1:2" x14ac:dyDescent="0.2">
      <c r="A12" t="s">
        <v>306</v>
      </c>
      <c r="B12"/>
    </row>
    <row r="13" spans="1:2" x14ac:dyDescent="0.2">
      <c r="A13" t="s">
        <v>301</v>
      </c>
      <c r="B13"/>
    </row>
    <row r="14" spans="1:2" x14ac:dyDescent="0.2">
      <c r="A14" t="s">
        <v>332</v>
      </c>
      <c r="B14"/>
    </row>
    <row r="15" spans="1:2" x14ac:dyDescent="0.2">
      <c r="A15" t="s">
        <v>307</v>
      </c>
      <c r="B15"/>
    </row>
    <row r="16" spans="1:2" x14ac:dyDescent="0.2">
      <c r="A16" t="s">
        <v>298</v>
      </c>
      <c r="B16"/>
    </row>
    <row r="17" spans="1:2" x14ac:dyDescent="0.2">
      <c r="A17" t="s">
        <v>333</v>
      </c>
      <c r="B17"/>
    </row>
    <row r="18" spans="1:2" x14ac:dyDescent="0.2">
      <c r="A18" t="s">
        <v>77</v>
      </c>
      <c r="B18"/>
    </row>
    <row r="19" spans="1:2" x14ac:dyDescent="0.2">
      <c r="A19" t="s">
        <v>317</v>
      </c>
      <c r="B19"/>
    </row>
    <row r="20" spans="1:2" x14ac:dyDescent="0.2">
      <c r="A20" t="s">
        <v>316</v>
      </c>
      <c r="B20"/>
    </row>
    <row r="21" spans="1:2" x14ac:dyDescent="0.2">
      <c r="A21" t="s">
        <v>312</v>
      </c>
      <c r="B21"/>
    </row>
    <row r="22" spans="1:2" x14ac:dyDescent="0.2">
      <c r="A22" t="s">
        <v>313</v>
      </c>
      <c r="B22"/>
    </row>
    <row r="23" spans="1:2" x14ac:dyDescent="0.2">
      <c r="A23" t="s">
        <v>78</v>
      </c>
      <c r="B23"/>
    </row>
    <row r="24" spans="1:2" x14ac:dyDescent="0.2">
      <c r="A24" t="s">
        <v>311</v>
      </c>
      <c r="B24"/>
    </row>
    <row r="25" spans="1:2" x14ac:dyDescent="0.2">
      <c r="A25" t="s">
        <v>315</v>
      </c>
      <c r="B25"/>
    </row>
    <row r="26" spans="1:2" x14ac:dyDescent="0.2">
      <c r="A26" t="s">
        <v>310</v>
      </c>
      <c r="B26"/>
    </row>
    <row r="27" spans="1:2" x14ac:dyDescent="0.2">
      <c r="A27" t="s">
        <v>314</v>
      </c>
      <c r="B27"/>
    </row>
    <row r="28" spans="1:2" x14ac:dyDescent="0.2">
      <c r="A28" t="s">
        <v>299</v>
      </c>
      <c r="B28"/>
    </row>
    <row r="29" spans="1:2" x14ac:dyDescent="0.2">
      <c r="A29" t="s">
        <v>318</v>
      </c>
      <c r="B29"/>
    </row>
    <row r="30" spans="1:2" x14ac:dyDescent="0.2">
      <c r="A30" t="s">
        <v>334</v>
      </c>
      <c r="B30"/>
    </row>
    <row r="31" spans="1:2" x14ac:dyDescent="0.2">
      <c r="A31" t="s">
        <v>335</v>
      </c>
      <c r="B31"/>
    </row>
    <row r="32" spans="1:2" x14ac:dyDescent="0.2">
      <c r="A32" t="s">
        <v>336</v>
      </c>
      <c r="B32"/>
    </row>
    <row r="33" spans="1:2" x14ac:dyDescent="0.2">
      <c r="A33" t="s">
        <v>80</v>
      </c>
      <c r="B33"/>
    </row>
    <row r="34" spans="1:2" x14ac:dyDescent="0.2">
      <c r="A34" t="s">
        <v>329</v>
      </c>
      <c r="B34"/>
    </row>
    <row r="35" spans="1:2" x14ac:dyDescent="0.2">
      <c r="A35" t="s">
        <v>323</v>
      </c>
      <c r="B35"/>
    </row>
    <row r="36" spans="1:2" x14ac:dyDescent="0.2">
      <c r="A36" t="s">
        <v>363</v>
      </c>
      <c r="B36"/>
    </row>
    <row r="37" spans="1:2" x14ac:dyDescent="0.2">
      <c r="A37" t="s">
        <v>325</v>
      </c>
      <c r="B37"/>
    </row>
    <row r="38" spans="1:2" x14ac:dyDescent="0.2">
      <c r="A38" t="s">
        <v>324</v>
      </c>
      <c r="B38"/>
    </row>
    <row r="39" spans="1:2" x14ac:dyDescent="0.2">
      <c r="A39" t="s">
        <v>327</v>
      </c>
      <c r="B39"/>
    </row>
    <row r="40" spans="1:2" x14ac:dyDescent="0.2">
      <c r="A40" t="s">
        <v>79</v>
      </c>
      <c r="B40"/>
    </row>
    <row r="41" spans="1:2" x14ac:dyDescent="0.2">
      <c r="A41" t="s">
        <v>322</v>
      </c>
      <c r="B41"/>
    </row>
    <row r="42" spans="1:2" x14ac:dyDescent="0.2">
      <c r="A42" t="s">
        <v>320</v>
      </c>
      <c r="B42"/>
    </row>
    <row r="43" spans="1:2" x14ac:dyDescent="0.2">
      <c r="A43" t="s">
        <v>328</v>
      </c>
      <c r="B43"/>
    </row>
    <row r="44" spans="1:2" x14ac:dyDescent="0.2">
      <c r="A44" t="s">
        <v>326</v>
      </c>
      <c r="B44"/>
    </row>
    <row r="45" spans="1:2" x14ac:dyDescent="0.2">
      <c r="A45" t="s">
        <v>319</v>
      </c>
      <c r="B45"/>
    </row>
    <row r="46" spans="1:2" x14ac:dyDescent="0.2">
      <c r="A46" t="s">
        <v>321</v>
      </c>
      <c r="B46"/>
    </row>
    <row r="47" spans="1:2" x14ac:dyDescent="0.2">
      <c r="A47" t="s">
        <v>81</v>
      </c>
      <c r="B47"/>
    </row>
    <row r="48" spans="1:2" x14ac:dyDescent="0.2">
      <c r="A48" t="s">
        <v>337</v>
      </c>
      <c r="B48"/>
    </row>
    <row r="49" spans="1:1" x14ac:dyDescent="0.2">
      <c r="A49" t="s">
        <v>330</v>
      </c>
    </row>
  </sheetData>
  <sheetProtection algorithmName="SHA-512" hashValue="WP7xUo3hdEs9lDJIOwbQAofq0A1dfkSKeFFo90ltrq4i/IwYDGQOhumBdWelcT+Bk7thLPhhr0jbcOXVn7E3lg==" saltValue="vlUlpzKKWrYwJABo1bMFAQ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64C8-4CE4-3841-A9F3-BE38D204C330}">
  <sheetPr codeName="Sheet11">
    <tabColor rgb="FF0070C0"/>
  </sheetPr>
  <dimension ref="A1:A16"/>
  <sheetViews>
    <sheetView tabSelected="1" workbookViewId="0"/>
  </sheetViews>
  <sheetFormatPr baseColWidth="10" defaultRowHeight="16" x14ac:dyDescent="0.2"/>
  <sheetData>
    <row r="1" spans="1:1" x14ac:dyDescent="0.2">
      <c r="A1" t="s">
        <v>82</v>
      </c>
    </row>
    <row r="2" spans="1:1" x14ac:dyDescent="0.2">
      <c r="A2" t="s">
        <v>261</v>
      </c>
    </row>
    <row r="3" spans="1:1" x14ac:dyDescent="0.2">
      <c r="A3" t="s">
        <v>83</v>
      </c>
    </row>
    <row r="4" spans="1:1" x14ac:dyDescent="0.2">
      <c r="A4" t="s">
        <v>84</v>
      </c>
    </row>
    <row r="5" spans="1:1" x14ac:dyDescent="0.2">
      <c r="A5" t="s">
        <v>85</v>
      </c>
    </row>
    <row r="6" spans="1:1" x14ac:dyDescent="0.2">
      <c r="A6" t="s">
        <v>364</v>
      </c>
    </row>
    <row r="7" spans="1:1" x14ac:dyDescent="0.2">
      <c r="A7" t="s">
        <v>365</v>
      </c>
    </row>
    <row r="8" spans="1:1" x14ac:dyDescent="0.2">
      <c r="A8" t="s">
        <v>245</v>
      </c>
    </row>
    <row r="9" spans="1:1" x14ac:dyDescent="0.2">
      <c r="A9" t="s">
        <v>86</v>
      </c>
    </row>
    <row r="10" spans="1:1" x14ac:dyDescent="0.2">
      <c r="A10" t="s">
        <v>87</v>
      </c>
    </row>
    <row r="11" spans="1:1" x14ac:dyDescent="0.2">
      <c r="A11" t="s">
        <v>88</v>
      </c>
    </row>
    <row r="12" spans="1:1" x14ac:dyDescent="0.2">
      <c r="A12" t="s">
        <v>89</v>
      </c>
    </row>
    <row r="13" spans="1:1" x14ac:dyDescent="0.2">
      <c r="A13" t="s">
        <v>90</v>
      </c>
    </row>
    <row r="14" spans="1:1" x14ac:dyDescent="0.2">
      <c r="A14" t="s">
        <v>21</v>
      </c>
    </row>
    <row r="15" spans="1:1" x14ac:dyDescent="0.2">
      <c r="A15" t="s">
        <v>91</v>
      </c>
    </row>
    <row r="16" spans="1:1" x14ac:dyDescent="0.2">
      <c r="A16" t="s">
        <v>244</v>
      </c>
    </row>
  </sheetData>
  <sheetProtection algorithmName="SHA-512" hashValue="JOOoCsM338apPVFcEYxsCN+AtV0xDrPuTWn/s4IFW/z+5Dt26Wo3zeXyodtrWtaxOJtg5I5eJtHNQRtDJglNEw==" saltValue="L2T9QlCYutp0RboAKkKBbw==" spinCount="100000" sheet="1" objects="1" scenarios="1"/>
  <sortState xmlns:xlrd2="http://schemas.microsoft.com/office/spreadsheetml/2017/richdata2" ref="A1:A14">
    <sortCondition ref="A1:A1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SampleList</vt:lpstr>
      <vt:lpstr>CastLog_ROV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Ruef</cp:lastModifiedBy>
  <cp:lastPrinted>2019-05-28T21:23:02Z</cp:lastPrinted>
  <dcterms:created xsi:type="dcterms:W3CDTF">2019-03-04T15:33:15Z</dcterms:created>
  <dcterms:modified xsi:type="dcterms:W3CDTF">2021-05-21T23:19:55Z</dcterms:modified>
</cp:coreProperties>
</file>